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360" yWindow="132" windowWidth="12336" windowHeight="7308" tabRatio="640"/>
  </bookViews>
  <sheets>
    <sheet name="Current" sheetId="1" r:id="rId1"/>
    <sheet name="Comparison" sheetId="4" r:id="rId2"/>
    <sheet name="Current graph" sheetId="13" r:id="rId3"/>
    <sheet name=" Comparison Graph" sheetId="14" r:id="rId4"/>
    <sheet name="Normal GPS values" sheetId="11" r:id="rId5"/>
    <sheet name="Normal gait variables" sheetId="10" r:id="rId6"/>
    <sheet name="Instructions" sheetId="3" r:id="rId7"/>
    <sheet name="Version" sheetId="6" r:id="rId8"/>
  </sheets>
  <calcPr calcId="145621"/>
</workbook>
</file>

<file path=xl/calcChain.xml><?xml version="1.0" encoding="utf-8"?>
<calcChain xmlns="http://schemas.openxmlformats.org/spreadsheetml/2006/main">
  <c r="D91" i="4" l="1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D68" i="4"/>
  <c r="C68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CY44" i="4"/>
  <c r="CZ44" i="4"/>
  <c r="DA44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BV45" i="4"/>
  <c r="BW45" i="4"/>
  <c r="BX45" i="4"/>
  <c r="BY45" i="4"/>
  <c r="BZ45" i="4"/>
  <c r="CA45" i="4"/>
  <c r="CB45" i="4"/>
  <c r="CC45" i="4"/>
  <c r="CD45" i="4"/>
  <c r="CE45" i="4"/>
  <c r="CF45" i="4"/>
  <c r="CG45" i="4"/>
  <c r="CH45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U45" i="4"/>
  <c r="CV45" i="4"/>
  <c r="CW45" i="4"/>
  <c r="CX45" i="4"/>
  <c r="CY45" i="4"/>
  <c r="CZ45" i="4"/>
  <c r="DA45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BV46" i="4"/>
  <c r="BW46" i="4"/>
  <c r="BX46" i="4"/>
  <c r="BY46" i="4"/>
  <c r="BZ46" i="4"/>
  <c r="CA46" i="4"/>
  <c r="CB46" i="4"/>
  <c r="CC46" i="4"/>
  <c r="CD46" i="4"/>
  <c r="CE46" i="4"/>
  <c r="CF46" i="4"/>
  <c r="CG46" i="4"/>
  <c r="CH46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U46" i="4"/>
  <c r="CV46" i="4"/>
  <c r="CW46" i="4"/>
  <c r="CX46" i="4"/>
  <c r="CY46" i="4"/>
  <c r="CZ46" i="4"/>
  <c r="DA46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CY47" i="4"/>
  <c r="CZ47" i="4"/>
  <c r="DA47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CY48" i="4"/>
  <c r="CZ48" i="4"/>
  <c r="DA48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BZ50" i="4"/>
  <c r="CA50" i="4"/>
  <c r="CB50" i="4"/>
  <c r="CC50" i="4"/>
  <c r="CD50" i="4"/>
  <c r="CE50" i="4"/>
  <c r="CF50" i="4"/>
  <c r="CG50" i="4"/>
  <c r="CH50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U50" i="4"/>
  <c r="CV50" i="4"/>
  <c r="CW50" i="4"/>
  <c r="CX50" i="4"/>
  <c r="CY50" i="4"/>
  <c r="CZ50" i="4"/>
  <c r="DA50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CY51" i="4"/>
  <c r="CZ51" i="4"/>
  <c r="DA51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CY59" i="4"/>
  <c r="CZ59" i="4"/>
  <c r="DA59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CY60" i="4"/>
  <c r="CZ60" i="4"/>
  <c r="DA60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CY62" i="4"/>
  <c r="CZ62" i="4"/>
  <c r="DA62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CY64" i="4"/>
  <c r="CZ64" i="4"/>
  <c r="DA64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CY65" i="4"/>
  <c r="CZ65" i="4"/>
  <c r="DA65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B26" i="14" l="1"/>
  <c r="B28" i="13" l="1"/>
  <c r="H91" i="4" l="1"/>
  <c r="B3" i="10" l="1"/>
  <c r="B5" i="10" s="1"/>
  <c r="B4" i="10"/>
  <c r="B3" i="11"/>
  <c r="B5" i="11" s="1"/>
  <c r="B4" i="11"/>
  <c r="B14" i="11" l="1"/>
  <c r="C14" i="11" s="1"/>
  <c r="B13" i="11"/>
  <c r="C13" i="11" s="1"/>
  <c r="B9" i="11"/>
  <c r="C9" i="11" s="1"/>
  <c r="B7" i="11"/>
  <c r="C7" i="11" s="1"/>
  <c r="B12" i="11"/>
  <c r="C12" i="11" s="1"/>
  <c r="B8" i="11"/>
  <c r="C8" i="11" s="1"/>
  <c r="B7" i="10"/>
  <c r="C7" i="10" s="1"/>
  <c r="B15" i="10"/>
  <c r="C15" i="10" s="1"/>
  <c r="B13" i="10"/>
  <c r="C13" i="10" s="1"/>
  <c r="B11" i="10"/>
  <c r="C11" i="10" s="1"/>
  <c r="B9" i="10"/>
  <c r="C9" i="10" s="1"/>
  <c r="B14" i="10"/>
  <c r="C14" i="10" s="1"/>
  <c r="B12" i="10"/>
  <c r="C12" i="10" s="1"/>
  <c r="B10" i="10"/>
  <c r="C10" i="10" s="1"/>
  <c r="B8" i="10"/>
  <c r="C8" i="10" s="1"/>
  <c r="B11" i="11"/>
  <c r="C11" i="11" s="1"/>
  <c r="B15" i="11"/>
  <c r="C15" i="11" s="1"/>
  <c r="B10" i="11"/>
  <c r="C10" i="11" s="1"/>
  <c r="C16" i="11" l="1"/>
  <c r="S20" i="11" s="1"/>
  <c r="I98" i="1" s="1"/>
  <c r="C16" i="10"/>
  <c r="X21" i="11" l="1"/>
  <c r="M100" i="1" s="1"/>
  <c r="I20" i="11"/>
  <c r="I92" i="1" s="1"/>
  <c r="G21" i="11"/>
  <c r="N91" i="1" s="1"/>
  <c r="L20" i="11"/>
  <c r="I94" i="1" s="1"/>
  <c r="W20" i="11"/>
  <c r="I100" i="1" s="1"/>
  <c r="Y20" i="11"/>
  <c r="K100" i="1" s="1"/>
  <c r="K101" i="1" s="1"/>
  <c r="J21" i="11"/>
  <c r="M92" i="1" s="1"/>
  <c r="K20" i="11"/>
  <c r="J93" i="1" s="1"/>
  <c r="K93" i="1" s="1"/>
  <c r="N21" i="11"/>
  <c r="N95" i="1" s="1"/>
  <c r="F21" i="11"/>
  <c r="M90" i="1" s="1"/>
  <c r="W21" i="11"/>
  <c r="N100" i="1" s="1"/>
  <c r="J20" i="11"/>
  <c r="H92" i="1" s="1"/>
  <c r="V21" i="11"/>
  <c r="M99" i="1" s="1"/>
  <c r="P20" i="11"/>
  <c r="J96" i="1" s="1"/>
  <c r="K96" i="1" s="1"/>
  <c r="I21" i="11"/>
  <c r="N92" i="1" s="1"/>
  <c r="F20" i="11"/>
  <c r="H90" i="1" s="1"/>
  <c r="M20" i="11"/>
  <c r="H94" i="1" s="1"/>
  <c r="R20" i="11"/>
  <c r="H97" i="1" s="1"/>
  <c r="K21" i="11"/>
  <c r="O93" i="1" s="1"/>
  <c r="P93" i="1" s="1"/>
  <c r="U21" i="11"/>
  <c r="N99" i="1" s="1"/>
  <c r="T21" i="11"/>
  <c r="M98" i="1" s="1"/>
  <c r="D21" i="11"/>
  <c r="O89" i="1" s="1"/>
  <c r="P89" i="1" s="1"/>
  <c r="E20" i="11"/>
  <c r="I90" i="1" s="1"/>
  <c r="P21" i="11"/>
  <c r="O96" i="1" s="1"/>
  <c r="P96" i="1" s="1"/>
  <c r="Y21" i="11"/>
  <c r="P100" i="1" s="1"/>
  <c r="P101" i="1" s="1"/>
  <c r="O20" i="11"/>
  <c r="H95" i="1" s="1"/>
  <c r="R21" i="11"/>
  <c r="M97" i="1" s="1"/>
  <c r="X20" i="11"/>
  <c r="H100" i="1" s="1"/>
  <c r="G20" i="11"/>
  <c r="I91" i="1" s="1"/>
  <c r="N20" i="11"/>
  <c r="I95" i="1" s="1"/>
  <c r="Q20" i="11"/>
  <c r="I97" i="1" s="1"/>
  <c r="V20" i="11"/>
  <c r="H99" i="1" s="1"/>
  <c r="O21" i="11"/>
  <c r="M95" i="1" s="1"/>
  <c r="L21" i="11"/>
  <c r="N94" i="1" s="1"/>
  <c r="Q21" i="11"/>
  <c r="N97" i="1" s="1"/>
  <c r="T20" i="11"/>
  <c r="H98" i="1" s="1"/>
  <c r="K98" i="1" s="1"/>
  <c r="S21" i="11"/>
  <c r="N98" i="1" s="1"/>
  <c r="H20" i="11"/>
  <c r="H91" i="1" s="1"/>
  <c r="K91" i="1" s="1"/>
  <c r="U20" i="11"/>
  <c r="I99" i="1" s="1"/>
  <c r="D20" i="11"/>
  <c r="J89" i="1" s="1"/>
  <c r="K89" i="1" s="1"/>
  <c r="H21" i="11"/>
  <c r="M91" i="1" s="1"/>
  <c r="M21" i="11"/>
  <c r="M94" i="1" s="1"/>
  <c r="P94" i="1" s="1"/>
  <c r="E21" i="11"/>
  <c r="N90" i="1" s="1"/>
  <c r="S20" i="10"/>
  <c r="AI20" i="10"/>
  <c r="AY20" i="10"/>
  <c r="I20" i="10"/>
  <c r="AO20" i="10"/>
  <c r="BQ20" i="10"/>
  <c r="CG20" i="10"/>
  <c r="CW20" i="10"/>
  <c r="P21" i="10"/>
  <c r="AF21" i="10"/>
  <c r="AV21" i="10"/>
  <c r="BL21" i="10"/>
  <c r="CB21" i="10"/>
  <c r="CR21" i="10"/>
  <c r="K22" i="10"/>
  <c r="AA22" i="10"/>
  <c r="AQ22" i="10"/>
  <c r="BG22" i="10"/>
  <c r="BW22" i="10"/>
  <c r="CM22" i="10"/>
  <c r="M20" i="10"/>
  <c r="AS20" i="10"/>
  <c r="BS20" i="10"/>
  <c r="CI20" i="10"/>
  <c r="CY20" i="10"/>
  <c r="R21" i="10"/>
  <c r="AH21" i="10"/>
  <c r="AX21" i="10"/>
  <c r="BN21" i="10"/>
  <c r="CD21" i="10"/>
  <c r="CT21" i="10"/>
  <c r="M22" i="10"/>
  <c r="AC22" i="10"/>
  <c r="AS22" i="10"/>
  <c r="BI22" i="10"/>
  <c r="BY22" i="10"/>
  <c r="CO22" i="10"/>
  <c r="H23" i="10"/>
  <c r="X23" i="10"/>
  <c r="AN23" i="10"/>
  <c r="BD23" i="10"/>
  <c r="BT23" i="10"/>
  <c r="CJ23" i="10"/>
  <c r="CZ23" i="10"/>
  <c r="S24" i="10"/>
  <c r="AI24" i="10"/>
  <c r="AY24" i="10"/>
  <c r="BO24" i="10"/>
  <c r="CE24" i="10"/>
  <c r="CU24" i="10"/>
  <c r="N25" i="10"/>
  <c r="AD25" i="10"/>
  <c r="AT25" i="10"/>
  <c r="BJ25" i="10"/>
  <c r="BZ25" i="10"/>
  <c r="CP25" i="10"/>
  <c r="I26" i="10"/>
  <c r="Y26" i="10"/>
  <c r="AO26" i="10"/>
  <c r="BE26" i="10"/>
  <c r="R23" i="10"/>
  <c r="AX23" i="10"/>
  <c r="CD23" i="10"/>
  <c r="M24" i="10"/>
  <c r="AS24" i="10"/>
  <c r="BY24" i="10"/>
  <c r="H25" i="10"/>
  <c r="AN25" i="10"/>
  <c r="BT25" i="10"/>
  <c r="CZ25" i="10"/>
  <c r="AI26" i="10"/>
  <c r="BO26" i="10"/>
  <c r="CE26" i="10"/>
  <c r="CU26" i="10"/>
  <c r="N27" i="10"/>
  <c r="AD27" i="10"/>
  <c r="AT27" i="10"/>
  <c r="BJ27" i="10"/>
  <c r="BZ27" i="10"/>
  <c r="CP27" i="10"/>
  <c r="I28" i="10"/>
  <c r="F23" i="10"/>
  <c r="AL23" i="10"/>
  <c r="BR23" i="10"/>
  <c r="CX23" i="10"/>
  <c r="AG24" i="10"/>
  <c r="BM24" i="10"/>
  <c r="CS24" i="10"/>
  <c r="AB25" i="10"/>
  <c r="BH25" i="10"/>
  <c r="CN25" i="10"/>
  <c r="W26" i="10"/>
  <c r="BC26" i="10"/>
  <c r="BY26" i="10"/>
  <c r="CO26" i="10"/>
  <c r="H27" i="10"/>
  <c r="X27" i="10"/>
  <c r="AN27" i="10"/>
  <c r="BD27" i="10"/>
  <c r="BT27" i="10"/>
  <c r="CJ27" i="10"/>
  <c r="CZ27" i="10"/>
  <c r="S28" i="10"/>
  <c r="AI28" i="10"/>
  <c r="AY28" i="10"/>
  <c r="BO28" i="10"/>
  <c r="CE28" i="10"/>
  <c r="CU28" i="10"/>
  <c r="N29" i="10"/>
  <c r="AD29" i="10"/>
  <c r="AT29" i="10"/>
  <c r="BJ29" i="10"/>
  <c r="BZ29" i="10"/>
  <c r="CP29" i="10"/>
  <c r="I30" i="10"/>
  <c r="Y30" i="10"/>
  <c r="AO30" i="10"/>
  <c r="BE30" i="10"/>
  <c r="BU30" i="10"/>
  <c r="CQ30" i="10"/>
  <c r="AB31" i="10"/>
  <c r="BJ31" i="10"/>
  <c r="CR31" i="10"/>
  <c r="P20" i="10"/>
  <c r="AF20" i="10"/>
  <c r="AC28" i="10"/>
  <c r="BI28" i="10"/>
  <c r="CO28" i="10"/>
  <c r="X29" i="10"/>
  <c r="BD29" i="10"/>
  <c r="CJ29" i="10"/>
  <c r="S30" i="10"/>
  <c r="AY30" i="10"/>
  <c r="CG30" i="10"/>
  <c r="AX31" i="10"/>
  <c r="J20" i="10"/>
  <c r="AP20" i="10"/>
  <c r="BH20" i="10"/>
  <c r="BX20" i="10"/>
  <c r="CN20" i="10"/>
  <c r="G21" i="10"/>
  <c r="W21" i="10"/>
  <c r="AM21" i="10"/>
  <c r="BC21" i="10"/>
  <c r="BS21" i="10"/>
  <c r="CI21" i="10"/>
  <c r="CY21" i="10"/>
  <c r="R22" i="10"/>
  <c r="AH22" i="10"/>
  <c r="AX22" i="10"/>
  <c r="BN22" i="10"/>
  <c r="CD22" i="10"/>
  <c r="CT22" i="10"/>
  <c r="M23" i="10"/>
  <c r="AC23" i="10"/>
  <c r="AS23" i="10"/>
  <c r="BI23" i="10"/>
  <c r="BY23" i="10"/>
  <c r="CO23" i="10"/>
  <c r="H24" i="10"/>
  <c r="X24" i="10"/>
  <c r="AN24" i="10"/>
  <c r="BD24" i="10"/>
  <c r="BT24" i="10"/>
  <c r="CJ24" i="10"/>
  <c r="CZ24" i="10"/>
  <c r="S25" i="10"/>
  <c r="AI25" i="10"/>
  <c r="AO28" i="10"/>
  <c r="BU28" i="10"/>
  <c r="DA28" i="10"/>
  <c r="AJ29" i="10"/>
  <c r="BP29" i="10"/>
  <c r="CV29" i="10"/>
  <c r="AE30" i="10"/>
  <c r="BK30" i="10"/>
  <c r="F31" i="10"/>
  <c r="E12" i="1" s="1"/>
  <c r="BX31" i="10"/>
  <c r="V20" i="10"/>
  <c r="AX20" i="10"/>
  <c r="BN20" i="10"/>
  <c r="CD20" i="10"/>
  <c r="CT20" i="10"/>
  <c r="M21" i="10"/>
  <c r="AC21" i="10"/>
  <c r="AS21" i="10"/>
  <c r="BI21" i="10"/>
  <c r="BY21" i="10"/>
  <c r="CO21" i="10"/>
  <c r="H22" i="10"/>
  <c r="X22" i="10"/>
  <c r="AN22" i="10"/>
  <c r="BD22" i="10"/>
  <c r="BT22" i="10"/>
  <c r="CJ22" i="10"/>
  <c r="CZ22" i="10"/>
  <c r="S23" i="10"/>
  <c r="AI23" i="10"/>
  <c r="AY23" i="10"/>
  <c r="BO23" i="10"/>
  <c r="CE23" i="10"/>
  <c r="CU23" i="10"/>
  <c r="N24" i="10"/>
  <c r="AD24" i="10"/>
  <c r="AT24" i="10"/>
  <c r="BJ24" i="10"/>
  <c r="BZ24" i="10"/>
  <c r="CP24" i="10"/>
  <c r="I25" i="10"/>
  <c r="Y25" i="10"/>
  <c r="AO25" i="10"/>
  <c r="BE25" i="10"/>
  <c r="BU25" i="10"/>
  <c r="CK25" i="10"/>
  <c r="DA25" i="10"/>
  <c r="T26" i="10"/>
  <c r="AJ26" i="10"/>
  <c r="AZ26" i="10"/>
  <c r="BP26" i="10"/>
  <c r="CF26" i="10"/>
  <c r="CV26" i="10"/>
  <c r="O27" i="10"/>
  <c r="AE27" i="10"/>
  <c r="AU27" i="10"/>
  <c r="BK27" i="10"/>
  <c r="CA27" i="10"/>
  <c r="CQ27" i="10"/>
  <c r="J28" i="10"/>
  <c r="Z28" i="10"/>
  <c r="AP28" i="10"/>
  <c r="BF28" i="10"/>
  <c r="BV28" i="10"/>
  <c r="CL28" i="10"/>
  <c r="DB28" i="10"/>
  <c r="U29" i="10"/>
  <c r="AK29" i="10"/>
  <c r="BK25" i="10"/>
  <c r="CQ25" i="10"/>
  <c r="Z26" i="10"/>
  <c r="BF26" i="10"/>
  <c r="CL26" i="10"/>
  <c r="U27" i="10"/>
  <c r="BA27" i="10"/>
  <c r="CG27" i="10"/>
  <c r="P28" i="10"/>
  <c r="AV28" i="10"/>
  <c r="O20" i="10"/>
  <c r="AE20" i="10"/>
  <c r="AU20" i="10"/>
  <c r="BK20" i="10"/>
  <c r="AG20" i="10"/>
  <c r="BM20" i="10"/>
  <c r="CC20" i="10"/>
  <c r="CS20" i="10"/>
  <c r="L21" i="10"/>
  <c r="AB21" i="10"/>
  <c r="AR21" i="10"/>
  <c r="BH21" i="10"/>
  <c r="BX21" i="10"/>
  <c r="CN21" i="10"/>
  <c r="G22" i="10"/>
  <c r="W22" i="10"/>
  <c r="AM22" i="10"/>
  <c r="BC22" i="10"/>
  <c r="BS22" i="10"/>
  <c r="CI22" i="10"/>
  <c r="CY22" i="10"/>
  <c r="AK20" i="10"/>
  <c r="BO20" i="10"/>
  <c r="CE20" i="10"/>
  <c r="CU20" i="10"/>
  <c r="N21" i="10"/>
  <c r="AD21" i="10"/>
  <c r="AT21" i="10"/>
  <c r="BJ21" i="10"/>
  <c r="BZ21" i="10"/>
  <c r="CP21" i="10"/>
  <c r="I22" i="10"/>
  <c r="Y22" i="10"/>
  <c r="AO22" i="10"/>
  <c r="BE22" i="10"/>
  <c r="BU22" i="10"/>
  <c r="CK22" i="10"/>
  <c r="DA22" i="10"/>
  <c r="T23" i="10"/>
  <c r="AJ23" i="10"/>
  <c r="AZ23" i="10"/>
  <c r="BP23" i="10"/>
  <c r="CF23" i="10"/>
  <c r="CV23" i="10"/>
  <c r="O24" i="10"/>
  <c r="AE24" i="10"/>
  <c r="AU24" i="10"/>
  <c r="BK24" i="10"/>
  <c r="CA24" i="10"/>
  <c r="CQ24" i="10"/>
  <c r="J25" i="10"/>
  <c r="Z25" i="10"/>
  <c r="AP25" i="10"/>
  <c r="BF25" i="10"/>
  <c r="BV25" i="10"/>
  <c r="CL25" i="10"/>
  <c r="DB25" i="10"/>
  <c r="U26" i="10"/>
  <c r="AK26" i="10"/>
  <c r="BA26" i="10"/>
  <c r="J23" i="10"/>
  <c r="AP23" i="10"/>
  <c r="BV23" i="10"/>
  <c r="DB23" i="10"/>
  <c r="AK24" i="10"/>
  <c r="BQ24" i="10"/>
  <c r="CW24" i="10"/>
  <c r="AF25" i="10"/>
  <c r="BL25" i="10"/>
  <c r="CR25" i="10"/>
  <c r="AA26" i="10"/>
  <c r="BG26" i="10"/>
  <c r="CA26" i="10"/>
  <c r="CQ26" i="10"/>
  <c r="J27" i="10"/>
  <c r="Z27" i="10"/>
  <c r="AP27" i="10"/>
  <c r="BF27" i="10"/>
  <c r="BV27" i="10"/>
  <c r="CL27" i="10"/>
  <c r="DB27" i="10"/>
  <c r="U28" i="10"/>
  <c r="AD23" i="10"/>
  <c r="BJ23" i="10"/>
  <c r="CP23" i="10"/>
  <c r="Y24" i="10"/>
  <c r="BE24" i="10"/>
  <c r="CK24" i="10"/>
  <c r="T25" i="10"/>
  <c r="AZ25" i="10"/>
  <c r="CF25" i="10"/>
  <c r="O26" i="10"/>
  <c r="AU26" i="10"/>
  <c r="BU26" i="10"/>
  <c r="CK26" i="10"/>
  <c r="DA26" i="10"/>
  <c r="T27" i="10"/>
  <c r="AJ27" i="10"/>
  <c r="AZ27" i="10"/>
  <c r="BP27" i="10"/>
  <c r="CF27" i="10"/>
  <c r="CV27" i="10"/>
  <c r="O28" i="10"/>
  <c r="AE28" i="10"/>
  <c r="AU28" i="10"/>
  <c r="BK28" i="10"/>
  <c r="CA28" i="10"/>
  <c r="CQ28" i="10"/>
  <c r="J29" i="10"/>
  <c r="Z29" i="10"/>
  <c r="AP29" i="10"/>
  <c r="BF29" i="10"/>
  <c r="BV29" i="10"/>
  <c r="CL29" i="10"/>
  <c r="DB29" i="10"/>
  <c r="U30" i="10"/>
  <c r="AK30" i="10"/>
  <c r="BA30" i="10"/>
  <c r="BQ30" i="10"/>
  <c r="CI30" i="10"/>
  <c r="T31" i="10"/>
  <c r="BB31" i="10"/>
  <c r="CJ31" i="10"/>
  <c r="L20" i="10"/>
  <c r="AB20" i="10"/>
  <c r="AR20" i="10"/>
  <c r="BA28" i="10"/>
  <c r="CG28" i="10"/>
  <c r="P29" i="10"/>
  <c r="AV29" i="10"/>
  <c r="CB29" i="10"/>
  <c r="K30" i="10"/>
  <c r="AQ30" i="10"/>
  <c r="BW30" i="10"/>
  <c r="AF31" i="10"/>
  <c r="CX31" i="10"/>
  <c r="AH20" i="10"/>
  <c r="BD20" i="10"/>
  <c r="BT20" i="10"/>
  <c r="CJ20" i="10"/>
  <c r="CZ20" i="10"/>
  <c r="S21" i="10"/>
  <c r="AI21" i="10"/>
  <c r="AY21" i="10"/>
  <c r="BO21" i="10"/>
  <c r="CE21" i="10"/>
  <c r="CU21" i="10"/>
  <c r="N22" i="10"/>
  <c r="AD22" i="10"/>
  <c r="AT22" i="10"/>
  <c r="BJ22" i="10"/>
  <c r="BZ22" i="10"/>
  <c r="CP22" i="10"/>
  <c r="I23" i="10"/>
  <c r="Y23" i="10"/>
  <c r="AO23" i="10"/>
  <c r="BE23" i="10"/>
  <c r="BU23" i="10"/>
  <c r="CK23" i="10"/>
  <c r="DA23" i="10"/>
  <c r="T24" i="10"/>
  <c r="AJ24" i="10"/>
  <c r="AZ24" i="10"/>
  <c r="BP24" i="10"/>
  <c r="CF24" i="10"/>
  <c r="CV24" i="10"/>
  <c r="O25" i="10"/>
  <c r="AE25" i="10"/>
  <c r="AG28" i="10"/>
  <c r="BM28" i="10"/>
  <c r="CS28" i="10"/>
  <c r="AB29" i="10"/>
  <c r="BH29" i="10"/>
  <c r="CN29" i="10"/>
  <c r="W30" i="10"/>
  <c r="BC30" i="10"/>
  <c r="CM30" i="10"/>
  <c r="BF31" i="10"/>
  <c r="N20" i="10"/>
  <c r="AT20" i="10"/>
  <c r="BJ20" i="10"/>
  <c r="BZ20" i="10"/>
  <c r="CP20" i="10"/>
  <c r="I21" i="10"/>
  <c r="Y21" i="10"/>
  <c r="AO21" i="10"/>
  <c r="BE21" i="10"/>
  <c r="BU21" i="10"/>
  <c r="CK21" i="10"/>
  <c r="DA21" i="10"/>
  <c r="T22" i="10"/>
  <c r="AJ22" i="10"/>
  <c r="AZ22" i="10"/>
  <c r="BP22" i="10"/>
  <c r="CF22" i="10"/>
  <c r="CV22" i="10"/>
  <c r="O23" i="10"/>
  <c r="AE23" i="10"/>
  <c r="AU23" i="10"/>
  <c r="BK23" i="10"/>
  <c r="CA23" i="10"/>
  <c r="CQ23" i="10"/>
  <c r="J24" i="10"/>
  <c r="Z24" i="10"/>
  <c r="AP24" i="10"/>
  <c r="BF24" i="10"/>
  <c r="BV24" i="10"/>
  <c r="CL24" i="10"/>
  <c r="DB24" i="10"/>
  <c r="U25" i="10"/>
  <c r="AK25" i="10"/>
  <c r="BA25" i="10"/>
  <c r="BQ25" i="10"/>
  <c r="CG25" i="10"/>
  <c r="CW25" i="10"/>
  <c r="P26" i="10"/>
  <c r="AF26" i="10"/>
  <c r="AV26" i="10"/>
  <c r="BL26" i="10"/>
  <c r="CB26" i="10"/>
  <c r="CR26" i="10"/>
  <c r="K27" i="10"/>
  <c r="AA27" i="10"/>
  <c r="AQ27" i="10"/>
  <c r="K20" i="10"/>
  <c r="AA20" i="10"/>
  <c r="AQ20" i="10"/>
  <c r="BG20" i="10"/>
  <c r="Y20" i="10"/>
  <c r="BE20" i="10"/>
  <c r="BY20" i="10"/>
  <c r="CO20" i="10"/>
  <c r="H21" i="10"/>
  <c r="X21" i="10"/>
  <c r="AN21" i="10"/>
  <c r="BD21" i="10"/>
  <c r="BT21" i="10"/>
  <c r="CJ21" i="10"/>
  <c r="CZ21" i="10"/>
  <c r="S22" i="10"/>
  <c r="AI22" i="10"/>
  <c r="AY22" i="10"/>
  <c r="BO22" i="10"/>
  <c r="CE22" i="10"/>
  <c r="CU22" i="10"/>
  <c r="AC20" i="10"/>
  <c r="BI20" i="10"/>
  <c r="CA20" i="10"/>
  <c r="CQ20" i="10"/>
  <c r="J21" i="10"/>
  <c r="Z21" i="10"/>
  <c r="AP21" i="10"/>
  <c r="BF21" i="10"/>
  <c r="BV21" i="10"/>
  <c r="CL21" i="10"/>
  <c r="DB21" i="10"/>
  <c r="U22" i="10"/>
  <c r="AK22" i="10"/>
  <c r="BA22" i="10"/>
  <c r="BQ22" i="10"/>
  <c r="CG22" i="10"/>
  <c r="CW22" i="10"/>
  <c r="P23" i="10"/>
  <c r="AF23" i="10"/>
  <c r="AV23" i="10"/>
  <c r="BL23" i="10"/>
  <c r="CB23" i="10"/>
  <c r="CR23" i="10"/>
  <c r="K24" i="10"/>
  <c r="AA24" i="10"/>
  <c r="AQ24" i="10"/>
  <c r="BG24" i="10"/>
  <c r="BW24" i="10"/>
  <c r="CM24" i="10"/>
  <c r="F25" i="10"/>
  <c r="V25" i="10"/>
  <c r="AL25" i="10"/>
  <c r="BB25" i="10"/>
  <c r="BR25" i="10"/>
  <c r="CH25" i="10"/>
  <c r="CX25" i="10"/>
  <c r="Q26" i="10"/>
  <c r="AG26" i="10"/>
  <c r="AW26" i="10"/>
  <c r="BM26" i="10"/>
  <c r="AH23" i="10"/>
  <c r="BN23" i="10"/>
  <c r="CT23" i="10"/>
  <c r="AC24" i="10"/>
  <c r="BI24" i="10"/>
  <c r="CO24" i="10"/>
  <c r="X25" i="10"/>
  <c r="BD25" i="10"/>
  <c r="CJ25" i="10"/>
  <c r="S26" i="10"/>
  <c r="AY26" i="10"/>
  <c r="BW26" i="10"/>
  <c r="CM26" i="10"/>
  <c r="F27" i="10"/>
  <c r="E8" i="1" s="1"/>
  <c r="V27" i="10"/>
  <c r="AL27" i="10"/>
  <c r="BB27" i="10"/>
  <c r="BR27" i="10"/>
  <c r="CH27" i="10"/>
  <c r="CX27" i="10"/>
  <c r="Q28" i="10"/>
  <c r="V23" i="10"/>
  <c r="BB23" i="10"/>
  <c r="CH23" i="10"/>
  <c r="Q24" i="10"/>
  <c r="AW24" i="10"/>
  <c r="CC24" i="10"/>
  <c r="L25" i="10"/>
  <c r="AR25" i="10"/>
  <c r="BX25" i="10"/>
  <c r="G26" i="10"/>
  <c r="AM26" i="10"/>
  <c r="BQ26" i="10"/>
  <c r="CG26" i="10"/>
  <c r="CW26" i="10"/>
  <c r="P27" i="10"/>
  <c r="AF27" i="10"/>
  <c r="AV27" i="10"/>
  <c r="BL27" i="10"/>
  <c r="CB27" i="10"/>
  <c r="CR27" i="10"/>
  <c r="K28" i="10"/>
  <c r="AA28" i="10"/>
  <c r="AQ28" i="10"/>
  <c r="BG28" i="10"/>
  <c r="BW28" i="10"/>
  <c r="CM28" i="10"/>
  <c r="F29" i="10"/>
  <c r="V29" i="10"/>
  <c r="AL29" i="10"/>
  <c r="BB29" i="10"/>
  <c r="BR29" i="10"/>
  <c r="CH29" i="10"/>
  <c r="CX29" i="10"/>
  <c r="Q30" i="10"/>
  <c r="AG30" i="10"/>
  <c r="AW30" i="10"/>
  <c r="BM30" i="10"/>
  <c r="CE30" i="10"/>
  <c r="J31" i="10"/>
  <c r="AT31" i="10"/>
  <c r="CB31" i="10"/>
  <c r="H20" i="10"/>
  <c r="X20" i="10"/>
  <c r="AN20" i="10"/>
  <c r="AS28" i="10"/>
  <c r="BY28" i="10"/>
  <c r="W20" i="10"/>
  <c r="AW20" i="10"/>
  <c r="T21" i="10"/>
  <c r="CF21" i="10"/>
  <c r="AU22" i="10"/>
  <c r="U20" i="10"/>
  <c r="F21" i="10"/>
  <c r="BR21" i="10"/>
  <c r="AG22" i="10"/>
  <c r="CS22" i="10"/>
  <c r="BH23" i="10"/>
  <c r="W24" i="10"/>
  <c r="CI24" i="10"/>
  <c r="AX25" i="10"/>
  <c r="M26" i="10"/>
  <c r="Z23" i="10"/>
  <c r="BA24" i="10"/>
  <c r="CB25" i="10"/>
  <c r="CI26" i="10"/>
  <c r="AX27" i="10"/>
  <c r="M28" i="10"/>
  <c r="I24" i="10"/>
  <c r="AJ25" i="10"/>
  <c r="BK26" i="10"/>
  <c r="AB27" i="10"/>
  <c r="CN27" i="10"/>
  <c r="BC28" i="10"/>
  <c r="R29" i="10"/>
  <c r="CD29" i="10"/>
  <c r="AS30" i="10"/>
  <c r="AJ31" i="10"/>
  <c r="AJ20" i="10"/>
  <c r="H29" i="10"/>
  <c r="BT29" i="10"/>
  <c r="AI30" i="10"/>
  <c r="N31" i="10"/>
  <c r="Z20" i="10"/>
  <c r="BP20" i="10"/>
  <c r="CV20" i="10"/>
  <c r="AE21" i="10"/>
  <c r="BK21" i="10"/>
  <c r="CQ21" i="10"/>
  <c r="Z22" i="10"/>
  <c r="BF22" i="10"/>
  <c r="CL22" i="10"/>
  <c r="U23" i="10"/>
  <c r="BA23" i="10"/>
  <c r="CG23" i="10"/>
  <c r="P24" i="10"/>
  <c r="AV24" i="10"/>
  <c r="CB24" i="10"/>
  <c r="K25" i="10"/>
  <c r="Y28" i="10"/>
  <c r="CK28" i="10"/>
  <c r="AZ29" i="10"/>
  <c r="O30" i="10"/>
  <c r="CC30" i="10"/>
  <c r="F20" i="10"/>
  <c r="BF20" i="10"/>
  <c r="CL20" i="10"/>
  <c r="U21" i="10"/>
  <c r="BA21" i="10"/>
  <c r="CG21" i="10"/>
  <c r="P22" i="10"/>
  <c r="AV22" i="10"/>
  <c r="CB22" i="10"/>
  <c r="K23" i="10"/>
  <c r="AQ23" i="10"/>
  <c r="BW23" i="10"/>
  <c r="F24" i="10"/>
  <c r="AL24" i="10"/>
  <c r="BR24" i="10"/>
  <c r="CX24" i="10"/>
  <c r="AG25" i="10"/>
  <c r="BM25" i="10"/>
  <c r="CS25" i="10"/>
  <c r="AB26" i="10"/>
  <c r="BH26" i="10"/>
  <c r="CN26" i="10"/>
  <c r="W27" i="10"/>
  <c r="BC27" i="10"/>
  <c r="BW27" i="10"/>
  <c r="CU27" i="10"/>
  <c r="R28" i="10"/>
  <c r="AL28" i="10"/>
  <c r="BJ28" i="10"/>
  <c r="CD28" i="10"/>
  <c r="CX28" i="10"/>
  <c r="Y29" i="10"/>
  <c r="AU25" i="10"/>
  <c r="CI25" i="10"/>
  <c r="AH26" i="10"/>
  <c r="BV26" i="10"/>
  <c r="M27" i="10"/>
  <c r="BI27" i="10"/>
  <c r="CW27" i="10"/>
  <c r="AN28" i="10"/>
  <c r="CB28" i="10"/>
  <c r="K29" i="10"/>
  <c r="AQ29" i="10"/>
  <c r="BG29" i="10"/>
  <c r="BW29" i="10"/>
  <c r="CM29" i="10"/>
  <c r="F30" i="10"/>
  <c r="V30" i="10"/>
  <c r="AL30" i="10"/>
  <c r="BB30" i="10"/>
  <c r="BR30" i="10"/>
  <c r="CH30" i="10"/>
  <c r="CX30" i="10"/>
  <c r="Q31" i="10"/>
  <c r="AG31" i="10"/>
  <c r="AW31" i="10"/>
  <c r="BM31" i="10"/>
  <c r="CC31" i="10"/>
  <c r="CS31" i="10"/>
  <c r="CS30" i="10"/>
  <c r="Z31" i="10"/>
  <c r="BD31" i="10"/>
  <c r="CH31" i="10"/>
  <c r="AY25" i="10"/>
  <c r="CE25" i="10"/>
  <c r="N26" i="10"/>
  <c r="AT26" i="10"/>
  <c r="BZ26" i="10"/>
  <c r="I27" i="10"/>
  <c r="AO27" i="10"/>
  <c r="BU27" i="10"/>
  <c r="DA27" i="10"/>
  <c r="AJ28" i="10"/>
  <c r="BP28" i="10"/>
  <c r="CV28" i="10"/>
  <c r="AE29" i="10"/>
  <c r="BA29" i="10"/>
  <c r="BQ29" i="10"/>
  <c r="CG29" i="10"/>
  <c r="CW29" i="10"/>
  <c r="P30" i="10"/>
  <c r="AF30" i="10"/>
  <c r="AV30" i="10"/>
  <c r="BL30" i="10"/>
  <c r="CB30" i="10"/>
  <c r="CR30" i="10"/>
  <c r="K31" i="10"/>
  <c r="AA31" i="10"/>
  <c r="AQ31" i="10"/>
  <c r="BG31" i="10"/>
  <c r="BW31" i="10"/>
  <c r="CM31" i="10"/>
  <c r="CA30" i="10"/>
  <c r="P31" i="10"/>
  <c r="AR31" i="10"/>
  <c r="BV31" i="10"/>
  <c r="CZ31" i="10"/>
  <c r="G20" i="10"/>
  <c r="Q20" i="10"/>
  <c r="DA20" i="10"/>
  <c r="BP21" i="10"/>
  <c r="AE22" i="10"/>
  <c r="CQ22" i="10"/>
  <c r="CM20" i="10"/>
  <c r="BB21" i="10"/>
  <c r="Q22" i="10"/>
  <c r="CC22" i="10"/>
  <c r="AR23" i="10"/>
  <c r="G24" i="10"/>
  <c r="BS24" i="10"/>
  <c r="AH25" i="10"/>
  <c r="CT25" i="10"/>
  <c r="BI26" i="10"/>
  <c r="U24" i="10"/>
  <c r="AV25" i="10"/>
  <c r="BS26" i="10"/>
  <c r="AH27" i="10"/>
  <c r="CT27" i="10"/>
  <c r="BZ23" i="10"/>
  <c r="DA24" i="10"/>
  <c r="AE26" i="10"/>
  <c r="L27" i="10"/>
  <c r="BX27" i="10"/>
  <c r="AM28" i="10"/>
  <c r="CY28" i="10"/>
  <c r="BN29" i="10"/>
  <c r="AC30" i="10"/>
  <c r="CY30" i="10"/>
  <c r="T20" i="10"/>
  <c r="CW28" i="10"/>
  <c r="BL29" i="10"/>
  <c r="AA30" i="10"/>
  <c r="CU30" i="10"/>
  <c r="R20" i="10"/>
  <c r="BL20" i="10"/>
  <c r="CR20" i="10"/>
  <c r="AA21" i="10"/>
  <c r="BG21" i="10"/>
  <c r="CM21" i="10"/>
  <c r="V22" i="10"/>
  <c r="BB22" i="10"/>
  <c r="CH22" i="10"/>
  <c r="Q23" i="10"/>
  <c r="AW23" i="10"/>
  <c r="CC23" i="10"/>
  <c r="L24" i="10"/>
  <c r="AR24" i="10"/>
  <c r="BX24" i="10"/>
  <c r="G25" i="10"/>
  <c r="AM25" i="10"/>
  <c r="CC28" i="10"/>
  <c r="AR29" i="10"/>
  <c r="G30" i="10"/>
  <c r="BS30" i="10"/>
  <c r="CN31" i="10"/>
  <c r="BB20" i="10"/>
  <c r="CH20" i="10"/>
  <c r="Q21" i="10"/>
  <c r="AW21" i="10"/>
  <c r="CC21" i="10"/>
  <c r="L22" i="10"/>
  <c r="AR22" i="10"/>
  <c r="BX22" i="10"/>
  <c r="G23" i="10"/>
  <c r="AM23" i="10"/>
  <c r="BS23" i="10"/>
  <c r="CY23" i="10"/>
  <c r="AH24" i="10"/>
  <c r="BN24" i="10"/>
  <c r="CT24" i="10"/>
  <c r="AC25" i="10"/>
  <c r="BI25" i="10"/>
  <c r="CO25" i="10"/>
  <c r="X26" i="10"/>
  <c r="BD26" i="10"/>
  <c r="CJ26" i="10"/>
  <c r="S27" i="10"/>
  <c r="AY27" i="10"/>
  <c r="BS27" i="10"/>
  <c r="CM27" i="10"/>
  <c r="N28" i="10"/>
  <c r="AH28" i="10"/>
  <c r="BB28" i="10"/>
  <c r="BZ28" i="10"/>
  <c r="CT28" i="10"/>
  <c r="Q29" i="10"/>
  <c r="AO29" i="10"/>
  <c r="CA25" i="10"/>
  <c r="R26" i="10"/>
  <c r="BN26" i="10"/>
  <c r="DB26" i="10"/>
  <c r="AS27" i="10"/>
  <c r="CO27" i="10"/>
  <c r="AF28" i="10"/>
  <c r="BT28" i="10"/>
  <c r="CZ28" i="10"/>
  <c r="AI29" i="10"/>
  <c r="BC29" i="10"/>
  <c r="BS29" i="10"/>
  <c r="CI29" i="10"/>
  <c r="CY29" i="10"/>
  <c r="R30" i="10"/>
  <c r="AH30" i="10"/>
  <c r="AX30" i="10"/>
  <c r="BN30" i="10"/>
  <c r="CD30" i="10"/>
  <c r="CT30" i="10"/>
  <c r="M31" i="10"/>
  <c r="AC31" i="10"/>
  <c r="AS31" i="10"/>
  <c r="BI31" i="10"/>
  <c r="BY31" i="10"/>
  <c r="CO31" i="10"/>
  <c r="CK30" i="10"/>
  <c r="R31" i="10"/>
  <c r="AV31" i="10"/>
  <c r="BZ31" i="10"/>
  <c r="AQ25" i="10"/>
  <c r="BW25" i="10"/>
  <c r="F26" i="10"/>
  <c r="AL26" i="10"/>
  <c r="BR26" i="10"/>
  <c r="CX26" i="10"/>
  <c r="AG27" i="10"/>
  <c r="BM27" i="10"/>
  <c r="CS27" i="10"/>
  <c r="AB28" i="10"/>
  <c r="BH28" i="10"/>
  <c r="CN28" i="10"/>
  <c r="W29" i="10"/>
  <c r="AW29" i="10"/>
  <c r="BM29" i="10"/>
  <c r="CC29" i="10"/>
  <c r="CS29" i="10"/>
  <c r="L30" i="10"/>
  <c r="AB30" i="10"/>
  <c r="AR30" i="10"/>
  <c r="BH30" i="10"/>
  <c r="BX30" i="10"/>
  <c r="CN30" i="10"/>
  <c r="G31" i="10"/>
  <c r="W31" i="10"/>
  <c r="AM31" i="10"/>
  <c r="BC31" i="10"/>
  <c r="BS31" i="10"/>
  <c r="CI31" i="10"/>
  <c r="CY31" i="10"/>
  <c r="H31" i="10"/>
  <c r="AL31" i="10"/>
  <c r="BP31" i="10"/>
  <c r="CT31" i="10"/>
  <c r="BC20" i="10"/>
  <c r="CK20" i="10"/>
  <c r="AZ21" i="10"/>
  <c r="O22" i="10"/>
  <c r="CA22" i="10"/>
  <c r="BW20" i="10"/>
  <c r="AL21" i="10"/>
  <c r="CX21" i="10"/>
  <c r="BM22" i="10"/>
  <c r="AB23" i="10"/>
  <c r="CN23" i="10"/>
  <c r="BC24" i="10"/>
  <c r="R25" i="10"/>
  <c r="CD25" i="10"/>
  <c r="AS26" i="10"/>
  <c r="CL23" i="10"/>
  <c r="P25" i="10"/>
  <c r="AQ26" i="10"/>
  <c r="R27" i="10"/>
  <c r="CD27" i="10"/>
  <c r="AT23" i="10"/>
  <c r="BU24" i="10"/>
  <c r="CV25" i="10"/>
  <c r="CS26" i="10"/>
  <c r="BH27" i="10"/>
  <c r="W28" i="10"/>
  <c r="CI28" i="10"/>
  <c r="AX29" i="10"/>
  <c r="M30" i="10"/>
  <c r="BY30" i="10"/>
  <c r="DB31" i="10"/>
  <c r="BQ28" i="10"/>
  <c r="AN29" i="10"/>
  <c r="CZ29" i="10"/>
  <c r="BO30" i="10"/>
  <c r="CF31" i="10"/>
  <c r="AZ20" i="10"/>
  <c r="CF20" i="10"/>
  <c r="O21" i="10"/>
  <c r="AU21" i="10"/>
  <c r="CA21" i="10"/>
  <c r="J22" i="10"/>
  <c r="AP22" i="10"/>
  <c r="BV22" i="10"/>
  <c r="DB22" i="10"/>
  <c r="AK23" i="10"/>
  <c r="BQ23" i="10"/>
  <c r="CW23" i="10"/>
  <c r="AF24" i="10"/>
  <c r="BL24" i="10"/>
  <c r="CR24" i="10"/>
  <c r="AA25" i="10"/>
  <c r="BE28" i="10"/>
  <c r="T29" i="10"/>
  <c r="CF29" i="10"/>
  <c r="AU30" i="10"/>
  <c r="AN31" i="10"/>
  <c r="AL20" i="10"/>
  <c r="BV20" i="10"/>
  <c r="DB20" i="10"/>
  <c r="AK21" i="10"/>
  <c r="BQ21" i="10"/>
  <c r="CW21" i="10"/>
  <c r="AF22" i="10"/>
  <c r="BL22" i="10"/>
  <c r="CR22" i="10"/>
  <c r="AA23" i="10"/>
  <c r="BG23" i="10"/>
  <c r="CM23" i="10"/>
  <c r="V24" i="10"/>
  <c r="BB24" i="10"/>
  <c r="CH24" i="10"/>
  <c r="Q25" i="10"/>
  <c r="AW25" i="10"/>
  <c r="CC25" i="10"/>
  <c r="L26" i="10"/>
  <c r="AR26" i="10"/>
  <c r="BX26" i="10"/>
  <c r="G27" i="10"/>
  <c r="AM27" i="10"/>
  <c r="BO27" i="10"/>
  <c r="CI27" i="10"/>
  <c r="F28" i="10"/>
  <c r="E9" i="1" s="1"/>
  <c r="AD28" i="10"/>
  <c r="AX28" i="10"/>
  <c r="BR28" i="10"/>
  <c r="CP28" i="10"/>
  <c r="M29" i="10"/>
  <c r="AG29" i="10"/>
  <c r="BS25" i="10"/>
  <c r="J26" i="10"/>
  <c r="AX26" i="10"/>
  <c r="CT26" i="10"/>
  <c r="AK27" i="10"/>
  <c r="BY27" i="10"/>
  <c r="X28" i="10"/>
  <c r="BL28" i="10"/>
  <c r="CR28" i="10"/>
  <c r="AA29" i="10"/>
  <c r="AY29" i="10"/>
  <c r="BO29" i="10"/>
  <c r="CE29" i="10"/>
  <c r="CU29" i="10"/>
  <c r="N30" i="10"/>
  <c r="AD30" i="10"/>
  <c r="AT30" i="10"/>
  <c r="BJ30" i="10"/>
  <c r="BZ30" i="10"/>
  <c r="CP30" i="10"/>
  <c r="I31" i="10"/>
  <c r="Y31" i="10"/>
  <c r="AO31" i="10"/>
  <c r="BE31" i="10"/>
  <c r="BU31" i="10"/>
  <c r="CK31" i="10"/>
  <c r="DA31" i="10"/>
  <c r="L31" i="10"/>
  <c r="AP31" i="10"/>
  <c r="BR31" i="10"/>
  <c r="CV31" i="10"/>
  <c r="BO25" i="10"/>
  <c r="CU25" i="10"/>
  <c r="AD26" i="10"/>
  <c r="BJ26" i="10"/>
  <c r="CP26" i="10"/>
  <c r="Y27" i="10"/>
  <c r="BE27" i="10"/>
  <c r="CK27" i="10"/>
  <c r="T28" i="10"/>
  <c r="AZ28" i="10"/>
  <c r="CF28" i="10"/>
  <c r="O29" i="10"/>
  <c r="AS29" i="10"/>
  <c r="BI29" i="10"/>
  <c r="BY29" i="10"/>
  <c r="CO29" i="10"/>
  <c r="H30" i="10"/>
  <c r="X30" i="10"/>
  <c r="AN30" i="10"/>
  <c r="BD30" i="10"/>
  <c r="BT30" i="10"/>
  <c r="CJ30" i="10"/>
  <c r="CZ30" i="10"/>
  <c r="S31" i="10"/>
  <c r="AI31" i="10"/>
  <c r="AY31" i="10"/>
  <c r="BO31" i="10"/>
  <c r="CE31" i="10"/>
  <c r="CU31" i="10"/>
  <c r="CW30" i="10"/>
  <c r="AD31" i="10"/>
  <c r="BH31" i="10"/>
  <c r="CL31" i="10"/>
  <c r="AM20" i="10"/>
  <c r="BU20" i="10"/>
  <c r="AJ21" i="10"/>
  <c r="CV21" i="10"/>
  <c r="BK22" i="10"/>
  <c r="BA20" i="10"/>
  <c r="V21" i="10"/>
  <c r="CH21" i="10"/>
  <c r="AW22" i="10"/>
  <c r="L23" i="10"/>
  <c r="BX23" i="10"/>
  <c r="AM24" i="10"/>
  <c r="CY24" i="10"/>
  <c r="BN25" i="10"/>
  <c r="AC26" i="10"/>
  <c r="BF23" i="10"/>
  <c r="CG24" i="10"/>
  <c r="K26" i="10"/>
  <c r="CY26" i="10"/>
  <c r="BN27" i="10"/>
  <c r="N23" i="10"/>
  <c r="AO24" i="10"/>
  <c r="BP25" i="10"/>
  <c r="CC26" i="10"/>
  <c r="AR27" i="10"/>
  <c r="G28" i="10"/>
  <c r="BS28" i="10"/>
  <c r="AH29" i="10"/>
  <c r="CT29" i="10"/>
  <c r="BI30" i="10"/>
  <c r="BT31" i="10"/>
  <c r="AK28" i="10"/>
  <c r="AF29" i="10"/>
  <c r="CR29" i="10"/>
  <c r="BG30" i="10"/>
  <c r="BN31" i="10"/>
  <c r="AV20" i="10"/>
  <c r="CB20" i="10"/>
  <c r="K21" i="10"/>
  <c r="AQ21" i="10"/>
  <c r="BW21" i="10"/>
  <c r="F22" i="10"/>
  <c r="AL22" i="10"/>
  <c r="BR22" i="10"/>
  <c r="CX22" i="10"/>
  <c r="AG23" i="10"/>
  <c r="BM23" i="10"/>
  <c r="CS23" i="10"/>
  <c r="AB24" i="10"/>
  <c r="BH24" i="10"/>
  <c r="CN24" i="10"/>
  <c r="W25" i="10"/>
  <c r="AW28" i="10"/>
  <c r="L29" i="10"/>
  <c r="BX29" i="10"/>
  <c r="AM30" i="10"/>
  <c r="X31" i="10"/>
  <c r="AD20" i="10"/>
  <c r="BR20" i="10"/>
  <c r="CX20" i="10"/>
  <c r="AG21" i="10"/>
  <c r="BM21" i="10"/>
  <c r="CS21" i="10"/>
  <c r="AB22" i="10"/>
  <c r="BH22" i="10"/>
  <c r="CN22" i="10"/>
  <c r="W23" i="10"/>
  <c r="BC23" i="10"/>
  <c r="CI23" i="10"/>
  <c r="R24" i="10"/>
  <c r="AX24" i="10"/>
  <c r="CD24" i="10"/>
  <c r="M25" i="10"/>
  <c r="AS25" i="10"/>
  <c r="BY25" i="10"/>
  <c r="H26" i="10"/>
  <c r="AN26" i="10"/>
  <c r="BT26" i="10"/>
  <c r="CZ26" i="10"/>
  <c r="AI27" i="10"/>
  <c r="BG27" i="10"/>
  <c r="CE27" i="10"/>
  <c r="CY27" i="10"/>
  <c r="V28" i="10"/>
  <c r="AT28" i="10"/>
  <c r="BN28" i="10"/>
  <c r="CH28" i="10"/>
  <c r="I29" i="10"/>
  <c r="AC29" i="10"/>
  <c r="BC25" i="10"/>
  <c r="CY25" i="10"/>
  <c r="AP26" i="10"/>
  <c r="CD26" i="10"/>
  <c r="AC27" i="10"/>
  <c r="BQ27" i="10"/>
  <c r="H28" i="10"/>
  <c r="BD28" i="10"/>
  <c r="CJ28" i="10"/>
  <c r="S29" i="10"/>
  <c r="AU29" i="10"/>
  <c r="BK29" i="10"/>
  <c r="CA29" i="10"/>
  <c r="CQ29" i="10"/>
  <c r="J30" i="10"/>
  <c r="Z30" i="10"/>
  <c r="AP30" i="10"/>
  <c r="BF30" i="10"/>
  <c r="BV30" i="10"/>
  <c r="CL30" i="10"/>
  <c r="DB30" i="10"/>
  <c r="U31" i="10"/>
  <c r="AK31" i="10"/>
  <c r="BA31" i="10"/>
  <c r="BQ31" i="10"/>
  <c r="CG31" i="10"/>
  <c r="CW31" i="10"/>
  <c r="DA30" i="10"/>
  <c r="AH31" i="10"/>
  <c r="BL31" i="10"/>
  <c r="CP31" i="10"/>
  <c r="BG25" i="10"/>
  <c r="CM25" i="10"/>
  <c r="V26" i="10"/>
  <c r="BB26" i="10"/>
  <c r="CH26" i="10"/>
  <c r="Q27" i="10"/>
  <c r="AW27" i="10"/>
  <c r="CC27" i="10"/>
  <c r="L28" i="10"/>
  <c r="AR28" i="10"/>
  <c r="BX28" i="10"/>
  <c r="G29" i="10"/>
  <c r="AM29" i="10"/>
  <c r="BE29" i="10"/>
  <c r="BU29" i="10"/>
  <c r="CK29" i="10"/>
  <c r="DA29" i="10"/>
  <c r="T30" i="10"/>
  <c r="AJ30" i="10"/>
  <c r="AZ30" i="10"/>
  <c r="BP30" i="10"/>
  <c r="CF30" i="10"/>
  <c r="CV30" i="10"/>
  <c r="O31" i="10"/>
  <c r="AE31" i="10"/>
  <c r="AU31" i="10"/>
  <c r="BK31" i="10"/>
  <c r="CA31" i="10"/>
  <c r="CQ31" i="10"/>
  <c r="CO30" i="10"/>
  <c r="V31" i="10"/>
  <c r="AZ31" i="10"/>
  <c r="CD31" i="10"/>
  <c r="K92" i="1" l="1"/>
  <c r="P97" i="1"/>
  <c r="K90" i="1"/>
  <c r="P92" i="1"/>
  <c r="P90" i="1"/>
  <c r="P91" i="1"/>
  <c r="E60" i="1"/>
  <c r="E59" i="1"/>
  <c r="N101" i="1"/>
  <c r="K97" i="1"/>
  <c r="K99" i="1"/>
  <c r="K95" i="1"/>
  <c r="P99" i="1"/>
  <c r="K94" i="1"/>
  <c r="M101" i="1"/>
  <c r="P98" i="1"/>
  <c r="P95" i="1"/>
  <c r="CP12" i="4"/>
  <c r="CP12" i="1"/>
  <c r="AL10" i="1"/>
  <c r="AL10" i="4"/>
  <c r="CZ11" i="1"/>
  <c r="CZ11" i="4"/>
  <c r="BJ10" i="1"/>
  <c r="BJ10" i="4"/>
  <c r="BG3" i="1"/>
  <c r="BG3" i="4"/>
  <c r="CE11" i="1"/>
  <c r="CE11" i="4"/>
  <c r="AQ9" i="1"/>
  <c r="AQ9" i="4"/>
  <c r="P8" i="1"/>
  <c r="P8" i="4"/>
  <c r="BP12" i="1"/>
  <c r="BP12" i="4"/>
  <c r="AO11" i="1"/>
  <c r="AO11" i="4"/>
  <c r="AB8" i="4"/>
  <c r="AB8" i="1"/>
  <c r="BM9" i="4"/>
  <c r="BM9" i="1"/>
  <c r="AR6" i="1"/>
  <c r="AR6" i="4"/>
  <c r="CM3" i="1"/>
  <c r="CM3" i="4"/>
  <c r="K10" i="1"/>
  <c r="K10" i="4"/>
  <c r="AF4" i="1"/>
  <c r="AF4" i="4"/>
  <c r="CA1" i="1"/>
  <c r="CA1" i="4"/>
  <c r="CQ10" i="4"/>
  <c r="CQ10" i="1"/>
  <c r="AN5" i="1"/>
  <c r="AN5" i="4"/>
  <c r="BM6" i="1"/>
  <c r="BM6" i="4"/>
  <c r="AZ1" i="4"/>
  <c r="AZ1" i="1"/>
  <c r="AC12" i="1"/>
  <c r="AC12" i="4"/>
  <c r="CY11" i="1"/>
  <c r="CY11" i="4"/>
  <c r="BD8" i="1"/>
  <c r="BD8" i="4"/>
  <c r="U12" i="4"/>
  <c r="U12" i="1"/>
  <c r="BJ12" i="4"/>
  <c r="BJ12" i="1"/>
  <c r="CU11" i="4"/>
  <c r="CU11" i="1"/>
  <c r="AI11" i="4"/>
  <c r="AI11" i="1"/>
  <c r="BT10" i="4"/>
  <c r="BT10" i="1"/>
  <c r="BW9" i="1"/>
  <c r="BW9" i="4"/>
  <c r="AV8" i="1"/>
  <c r="AV8" i="4"/>
  <c r="U7" i="4"/>
  <c r="U7" i="1"/>
  <c r="BK12" i="1"/>
  <c r="BK12" i="4"/>
  <c r="CF12" i="1"/>
  <c r="CF12" i="4"/>
  <c r="T12" i="4"/>
  <c r="T12" i="1"/>
  <c r="BE11" i="1"/>
  <c r="BE11" i="4"/>
  <c r="CP10" i="4"/>
  <c r="CP10" i="1"/>
  <c r="R10" i="4"/>
  <c r="R10" i="1"/>
  <c r="BP8" i="1"/>
  <c r="BP8" i="4"/>
  <c r="CX6" i="1"/>
  <c r="CX6" i="4"/>
  <c r="CG9" i="1"/>
  <c r="CG9" i="4"/>
  <c r="CX8" i="4"/>
  <c r="CX8" i="1"/>
  <c r="CY7" i="4"/>
  <c r="CY7" i="1"/>
  <c r="BX6" i="1"/>
  <c r="BX6" i="4"/>
  <c r="AW5" i="1"/>
  <c r="AW5" i="4"/>
  <c r="V4" i="1"/>
  <c r="V4" i="4"/>
  <c r="CR2" i="1"/>
  <c r="CR2" i="4"/>
  <c r="BQ1" i="1"/>
  <c r="BQ1" i="4"/>
  <c r="BW10" i="1"/>
  <c r="BW10" i="4"/>
  <c r="CM5" i="4"/>
  <c r="CM5" i="1"/>
  <c r="BL4" i="1"/>
  <c r="BL4" i="4"/>
  <c r="AK3" i="1"/>
  <c r="AK3" i="4"/>
  <c r="J2" i="1"/>
  <c r="J2" i="4"/>
  <c r="BF11" i="4"/>
  <c r="BF11" i="1"/>
  <c r="BS12" i="4"/>
  <c r="BS12" i="1"/>
  <c r="BR9" i="1"/>
  <c r="BR9" i="4"/>
  <c r="BO6" i="1"/>
  <c r="BO6" i="4"/>
  <c r="CX7" i="4"/>
  <c r="CX7" i="1"/>
  <c r="AB7" i="1"/>
  <c r="AB7" i="4"/>
  <c r="BW4" i="1"/>
  <c r="BW4" i="4"/>
  <c r="U2" i="1"/>
  <c r="U2" i="4"/>
  <c r="AI2" i="1"/>
  <c r="AI2" i="4"/>
  <c r="BG12" i="1"/>
  <c r="BG12" i="4"/>
  <c r="CD12" i="1"/>
  <c r="CD12" i="4"/>
  <c r="R12" i="1"/>
  <c r="R12" i="4"/>
  <c r="BC11" i="1"/>
  <c r="BC11" i="4"/>
  <c r="CN10" i="1"/>
  <c r="CN10" i="4"/>
  <c r="N10" i="1"/>
  <c r="N10" i="4"/>
  <c r="CJ8" i="1"/>
  <c r="CJ8" i="4"/>
  <c r="BI7" i="1"/>
  <c r="BI7" i="4"/>
  <c r="CU12" i="4"/>
  <c r="CU12" i="1"/>
  <c r="AD12" i="4"/>
  <c r="AD12" i="1"/>
  <c r="K9" i="1"/>
  <c r="K9" i="4"/>
  <c r="AZ12" i="4"/>
  <c r="AZ12" i="1"/>
  <c r="CC7" i="4"/>
  <c r="CC7" i="1"/>
  <c r="CH4" i="1"/>
  <c r="CH4" i="4"/>
  <c r="AT12" i="1"/>
  <c r="AT12" i="4"/>
  <c r="S11" i="1"/>
  <c r="S11" i="4"/>
  <c r="CL6" i="1"/>
  <c r="CL6" i="4"/>
  <c r="DA11" i="1"/>
  <c r="DA11" i="4"/>
  <c r="BZ10" i="1"/>
  <c r="BZ10" i="4"/>
  <c r="BB6" i="4"/>
  <c r="BB6" i="1"/>
  <c r="CD8" i="4"/>
  <c r="CD8" i="1"/>
  <c r="Q5" i="1"/>
  <c r="Q5" i="4"/>
  <c r="BL2" i="1"/>
  <c r="BL2" i="4"/>
  <c r="BG5" i="4"/>
  <c r="BG5" i="1"/>
  <c r="F9" i="1"/>
  <c r="F9" i="4"/>
  <c r="AY12" i="1"/>
  <c r="AY12" i="4"/>
  <c r="BZ12" i="1"/>
  <c r="BZ12" i="4"/>
  <c r="N12" i="1"/>
  <c r="N12" i="4"/>
  <c r="AY11" i="1"/>
  <c r="AY11" i="4"/>
  <c r="CJ10" i="1"/>
  <c r="CJ10" i="4"/>
  <c r="F10" i="1"/>
  <c r="F10" i="4"/>
  <c r="CB8" i="1"/>
  <c r="CB8" i="4"/>
  <c r="BA7" i="1"/>
  <c r="BA7" i="4"/>
  <c r="CO12" i="1"/>
  <c r="CO12" i="4"/>
  <c r="CV12" i="1"/>
  <c r="CV12" i="4"/>
  <c r="AJ12" i="4"/>
  <c r="AJ12" i="1"/>
  <c r="BU11" i="1"/>
  <c r="BU11" i="4"/>
  <c r="I11" i="4"/>
  <c r="I11" i="1"/>
  <c r="AT10" i="1"/>
  <c r="AT10" i="4"/>
  <c r="G9" i="1"/>
  <c r="G9" i="4"/>
  <c r="AO7" i="1"/>
  <c r="AO7" i="4"/>
  <c r="H10" i="4"/>
  <c r="H10" i="1"/>
  <c r="U9" i="1"/>
  <c r="U9" i="4"/>
  <c r="AH8" i="4"/>
  <c r="AH8" i="1"/>
  <c r="G7" i="1"/>
  <c r="G7" i="4"/>
  <c r="CC5" i="1"/>
  <c r="CC5" i="4"/>
  <c r="BB4" i="1"/>
  <c r="BB4" i="4"/>
  <c r="AA3" i="1"/>
  <c r="AA3" i="4"/>
  <c r="CW1" i="1"/>
  <c r="CW1" i="4"/>
  <c r="AL11" i="1"/>
  <c r="AL11" i="4"/>
  <c r="V6" i="4"/>
  <c r="V6" i="1"/>
  <c r="CR4" i="1"/>
  <c r="CR4" i="4"/>
  <c r="BQ3" i="1"/>
  <c r="BQ3" i="4"/>
  <c r="AP2" i="1"/>
  <c r="AP2" i="4"/>
  <c r="BM12" i="4"/>
  <c r="BM12" i="1"/>
  <c r="AJ9" i="1"/>
  <c r="AJ9" i="4"/>
  <c r="AG10" i="1"/>
  <c r="AG10" i="4"/>
  <c r="CB7" i="1"/>
  <c r="CB7" i="4"/>
  <c r="BM8" i="4"/>
  <c r="BM8" i="1"/>
  <c r="BE4" i="1"/>
  <c r="BE4" i="4"/>
  <c r="AL5" i="1"/>
  <c r="AL5" i="4"/>
  <c r="CG2" i="1"/>
  <c r="CG2" i="4"/>
  <c r="CU2" i="1"/>
  <c r="CU2" i="4"/>
  <c r="CK12" i="1"/>
  <c r="CK12" i="4"/>
  <c r="CT12" i="1"/>
  <c r="CT12" i="4"/>
  <c r="AH12" i="1"/>
  <c r="AH12" i="4"/>
  <c r="BS11" i="1"/>
  <c r="BS11" i="4"/>
  <c r="G11" i="1"/>
  <c r="G11" i="4"/>
  <c r="AR10" i="1"/>
  <c r="AR10" i="4"/>
  <c r="S9" i="1"/>
  <c r="S9" i="4"/>
  <c r="CO7" i="1"/>
  <c r="CO7" i="4"/>
  <c r="BN6" i="4"/>
  <c r="BN6" i="1"/>
  <c r="K12" i="1"/>
  <c r="K12" i="4"/>
  <c r="BO11" i="4"/>
  <c r="BO11" i="1"/>
  <c r="CG7" i="4"/>
  <c r="CG7" i="1"/>
  <c r="CK11" i="1"/>
  <c r="CK11" i="4"/>
  <c r="BC9" i="4"/>
  <c r="BC9" i="1"/>
  <c r="AS9" i="4"/>
  <c r="AS9" i="1"/>
  <c r="BF8" i="1"/>
  <c r="BF8" i="4"/>
  <c r="L6" i="1"/>
  <c r="L6" i="4"/>
  <c r="AF2" i="1"/>
  <c r="AF2" i="4"/>
  <c r="W12" i="1"/>
  <c r="W12" i="4"/>
  <c r="AV9" i="1"/>
  <c r="AV9" i="4"/>
  <c r="AA5" i="1"/>
  <c r="AA5" i="4"/>
  <c r="CW3" i="1"/>
  <c r="CW3" i="4"/>
  <c r="BV2" i="1"/>
  <c r="BV2" i="4"/>
  <c r="AU1" i="1"/>
  <c r="AU1" i="4"/>
  <c r="AE10" i="4"/>
  <c r="AE10" i="1"/>
  <c r="CS10" i="1"/>
  <c r="CS10" i="4"/>
  <c r="AQ8" i="1"/>
  <c r="AQ8" i="4"/>
  <c r="M4" i="1"/>
  <c r="M4" i="4"/>
  <c r="CF5" i="1"/>
  <c r="CF5" i="4"/>
  <c r="CX5" i="1"/>
  <c r="CX5" i="4"/>
  <c r="AV3" i="1"/>
  <c r="AV3" i="4"/>
  <c r="BJ3" i="1"/>
  <c r="BJ3" i="4"/>
  <c r="AL1" i="4"/>
  <c r="AL1" i="1"/>
  <c r="CV11" i="1"/>
  <c r="CV11" i="4"/>
  <c r="AX12" i="1"/>
  <c r="AX12" i="4"/>
  <c r="CI11" i="1"/>
  <c r="CI11" i="4"/>
  <c r="W11" i="1"/>
  <c r="W11" i="4"/>
  <c r="BH10" i="1"/>
  <c r="BH10" i="4"/>
  <c r="AY9" i="1"/>
  <c r="AY9" i="4"/>
  <c r="X8" i="1"/>
  <c r="X8" i="4"/>
  <c r="CT6" i="1"/>
  <c r="CT6" i="4"/>
  <c r="AO12" i="4"/>
  <c r="AO12" i="1"/>
  <c r="BT12" i="1"/>
  <c r="BT12" i="4"/>
  <c r="H12" i="1"/>
  <c r="H12" i="4"/>
  <c r="AS11" i="4"/>
  <c r="AS11" i="1"/>
  <c r="CD10" i="1"/>
  <c r="CD10" i="4"/>
  <c r="CQ9" i="1"/>
  <c r="CQ9" i="4"/>
  <c r="AJ8" i="1"/>
  <c r="AJ8" i="4"/>
  <c r="BR6" i="1"/>
  <c r="BR6" i="4"/>
  <c r="BQ9" i="1"/>
  <c r="BQ9" i="4"/>
  <c r="CH8" i="1"/>
  <c r="CH8" i="4"/>
  <c r="BW7" i="4"/>
  <c r="BW7" i="1"/>
  <c r="AV6" i="4"/>
  <c r="AV6" i="1"/>
  <c r="U5" i="4"/>
  <c r="U5" i="1"/>
  <c r="CQ3" i="4"/>
  <c r="CQ3" i="1"/>
  <c r="BP2" i="4"/>
  <c r="BP2" i="1"/>
  <c r="AK1" i="1"/>
  <c r="AK1" i="4"/>
  <c r="S10" i="1"/>
  <c r="S10" i="4"/>
  <c r="BK5" i="1"/>
  <c r="BK5" i="4"/>
  <c r="AJ4" i="1"/>
  <c r="AJ4" i="4"/>
  <c r="I3" i="4"/>
  <c r="I3" i="1"/>
  <c r="CE1" i="4"/>
  <c r="CE1" i="1"/>
  <c r="CY10" i="4"/>
  <c r="CY10" i="1"/>
  <c r="BX11" i="1"/>
  <c r="BX11" i="4"/>
  <c r="V9" i="4"/>
  <c r="V9" i="1"/>
  <c r="BT5" i="4"/>
  <c r="BT5" i="1"/>
  <c r="AP7" i="1"/>
  <c r="AP7" i="4"/>
  <c r="CC6" i="1"/>
  <c r="CC6" i="4"/>
  <c r="AA4" i="1"/>
  <c r="AA4" i="4"/>
  <c r="BV1" i="1"/>
  <c r="BV1" i="4"/>
  <c r="CJ1" i="1"/>
  <c r="CJ1" i="4"/>
  <c r="AK12" i="1"/>
  <c r="AK12" i="4"/>
  <c r="CC12" i="1"/>
  <c r="CC12" i="4"/>
  <c r="CZ10" i="4"/>
  <c r="CZ10" i="1"/>
  <c r="BF6" i="4"/>
  <c r="BF6" i="1"/>
  <c r="Y11" i="4"/>
  <c r="Y11" i="1"/>
  <c r="AB10" i="1"/>
  <c r="AB10" i="4"/>
  <c r="AM7" i="1"/>
  <c r="AM7" i="4"/>
  <c r="CN11" i="1"/>
  <c r="CN11" i="4"/>
  <c r="BD10" i="1"/>
  <c r="BD10" i="4"/>
  <c r="AG12" i="1"/>
  <c r="AG12" i="4"/>
  <c r="CI9" i="4"/>
  <c r="CI9" i="1"/>
  <c r="BS7" i="4"/>
  <c r="BS7" i="1"/>
  <c r="AC1" i="1"/>
  <c r="AC1" i="4"/>
  <c r="E3" i="1"/>
  <c r="E3" i="4"/>
  <c r="BH11" i="4"/>
  <c r="BH11" i="1"/>
  <c r="J7" i="1"/>
  <c r="J7" i="4"/>
  <c r="K4" i="1"/>
  <c r="K4" i="4"/>
  <c r="BT1" i="1"/>
  <c r="BT1" i="4"/>
  <c r="BN12" i="1"/>
  <c r="BN12" i="4"/>
  <c r="AM11" i="1"/>
  <c r="AM11" i="4"/>
  <c r="BX10" i="1"/>
  <c r="BX10" i="4"/>
  <c r="CE9" i="1"/>
  <c r="CE9" i="4"/>
  <c r="AC7" i="4"/>
  <c r="AC7" i="1"/>
  <c r="BQ12" i="1"/>
  <c r="BQ12" i="4"/>
  <c r="CJ12" i="1"/>
  <c r="CJ12" i="4"/>
  <c r="X12" i="1"/>
  <c r="X12" i="4"/>
  <c r="BI11" i="1"/>
  <c r="BI11" i="4"/>
  <c r="CT10" i="1"/>
  <c r="CT10" i="4"/>
  <c r="Z10" i="1"/>
  <c r="Z10" i="4"/>
  <c r="BX8" i="1"/>
  <c r="BX8" i="4"/>
  <c r="I7" i="4"/>
  <c r="I7" i="1"/>
  <c r="CO9" i="4"/>
  <c r="CO9" i="1"/>
  <c r="E9" i="4"/>
  <c r="F8" i="4"/>
  <c r="F8" i="1"/>
  <c r="CB6" i="4"/>
  <c r="CB6" i="1"/>
  <c r="BA5" i="4"/>
  <c r="BA5" i="1"/>
  <c r="Z4" i="4"/>
  <c r="Z4" i="1"/>
  <c r="CV2" i="4"/>
  <c r="CV2" i="1"/>
  <c r="BU1" i="1"/>
  <c r="BU1" i="4"/>
  <c r="CE10" i="1"/>
  <c r="CE10" i="4"/>
  <c r="CQ5" i="1"/>
  <c r="CQ5" i="4"/>
  <c r="BP4" i="1"/>
  <c r="BP4" i="4"/>
  <c r="AO3" i="4"/>
  <c r="AO3" i="1"/>
  <c r="N2" i="4"/>
  <c r="N2" i="1"/>
  <c r="BN11" i="4"/>
  <c r="BN11" i="1"/>
  <c r="DA12" i="4"/>
  <c r="DA12" i="1"/>
  <c r="CH9" i="4"/>
  <c r="CH9" i="1"/>
  <c r="CU6" i="4"/>
  <c r="CU6" i="1"/>
  <c r="Q8" i="1"/>
  <c r="Q8" i="4"/>
  <c r="AR7" i="1"/>
  <c r="AR7" i="4"/>
  <c r="CM4" i="1"/>
  <c r="CM4" i="4"/>
  <c r="AK2" i="1"/>
  <c r="AK2" i="4"/>
  <c r="AY2" i="1"/>
  <c r="AY2" i="4"/>
  <c r="BO12" i="1"/>
  <c r="BO12" i="4"/>
  <c r="CZ12" i="4"/>
  <c r="CZ12" i="1"/>
  <c r="AN12" i="1"/>
  <c r="AN12" i="4"/>
  <c r="BY11" i="4"/>
  <c r="BY11" i="1"/>
  <c r="M11" i="4"/>
  <c r="M11" i="1"/>
  <c r="AX10" i="1"/>
  <c r="AX10" i="4"/>
  <c r="W9" i="4"/>
  <c r="W9" i="1"/>
  <c r="AW7" i="4"/>
  <c r="AW7" i="1"/>
  <c r="L10" i="4"/>
  <c r="L10" i="1"/>
  <c r="AC9" i="4"/>
  <c r="AC9" i="1"/>
  <c r="AL8" i="4"/>
  <c r="AL8" i="1"/>
  <c r="K7" i="4"/>
  <c r="K7" i="1"/>
  <c r="CG5" i="4"/>
  <c r="CG5" i="1"/>
  <c r="BF4" i="4"/>
  <c r="BF4" i="1"/>
  <c r="AE3" i="4"/>
  <c r="AE3" i="1"/>
  <c r="DA1" i="4"/>
  <c r="DA1" i="1"/>
  <c r="AT11" i="1"/>
  <c r="AT11" i="4"/>
  <c r="Z6" i="1"/>
  <c r="Z6" i="4"/>
  <c r="CV4" i="1"/>
  <c r="CV4" i="4"/>
  <c r="BU3" i="4"/>
  <c r="BU3" i="1"/>
  <c r="AT2" i="4"/>
  <c r="AT2" i="1"/>
  <c r="CE12" i="4"/>
  <c r="CE12" i="1"/>
  <c r="BP9" i="4"/>
  <c r="BP9" i="1"/>
  <c r="AW10" i="4"/>
  <c r="AW10" i="1"/>
  <c r="CR7" i="4"/>
  <c r="CR7" i="1"/>
  <c r="CC8" i="1"/>
  <c r="CC8" i="4"/>
  <c r="CK4" i="1"/>
  <c r="CK4" i="4"/>
  <c r="BB5" i="1"/>
  <c r="BB5" i="4"/>
  <c r="CW2" i="1"/>
  <c r="CW2" i="4"/>
  <c r="N3" i="1"/>
  <c r="N3" i="4"/>
  <c r="CS12" i="4"/>
  <c r="CS12" i="1"/>
  <c r="CX12" i="1"/>
  <c r="CX12" i="4"/>
  <c r="AL12" i="1"/>
  <c r="AL12" i="4"/>
  <c r="BW11" i="1"/>
  <c r="BW11" i="4"/>
  <c r="K11" i="1"/>
  <c r="K11" i="4"/>
  <c r="AV10" i="1"/>
  <c r="AV10" i="4"/>
  <c r="AA9" i="4"/>
  <c r="AA9" i="1"/>
  <c r="CW7" i="4"/>
  <c r="CW7" i="1"/>
  <c r="BV6" i="1"/>
  <c r="BV6" i="4"/>
  <c r="Q12" i="1"/>
  <c r="Q12" i="4"/>
  <c r="BH12" i="4"/>
  <c r="BH12" i="1"/>
  <c r="CS11" i="1"/>
  <c r="CS11" i="4"/>
  <c r="AG11" i="4"/>
  <c r="AG11" i="1"/>
  <c r="BR10" i="4"/>
  <c r="BR10" i="1"/>
  <c r="BS9" i="1"/>
  <c r="BS9" i="4"/>
  <c r="DA7" i="4"/>
  <c r="DA7" i="1"/>
  <c r="AN10" i="4"/>
  <c r="AN10" i="1"/>
  <c r="BA9" i="1"/>
  <c r="BA9" i="4"/>
  <c r="BR8" i="4"/>
  <c r="BR8" i="1"/>
  <c r="BC7" i="4"/>
  <c r="BC7" i="1"/>
  <c r="AB6" i="1"/>
  <c r="AB6" i="4"/>
  <c r="CX4" i="1"/>
  <c r="CX4" i="4"/>
  <c r="BW3" i="1"/>
  <c r="BW3" i="4"/>
  <c r="AV2" i="1"/>
  <c r="AV2" i="4"/>
  <c r="CM12" i="1"/>
  <c r="CM12" i="4"/>
  <c r="CB9" i="1"/>
  <c r="CB9" i="4"/>
  <c r="AQ5" i="1"/>
  <c r="AQ5" i="4"/>
  <c r="P4" i="1"/>
  <c r="P4" i="4"/>
  <c r="CL2" i="1"/>
  <c r="CL2" i="4"/>
  <c r="BK1" i="1"/>
  <c r="BK1" i="4"/>
  <c r="BK10" i="1"/>
  <c r="BK10" i="4"/>
  <c r="AB11" i="4"/>
  <c r="AB11" i="1"/>
  <c r="BW8" i="1"/>
  <c r="BW8" i="4"/>
  <c r="BY4" i="1"/>
  <c r="BY4" i="4"/>
  <c r="AU6" i="1"/>
  <c r="AU6" i="4"/>
  <c r="AG6" i="1"/>
  <c r="AG6" i="4"/>
  <c r="CB3" i="1"/>
  <c r="CB3" i="4"/>
  <c r="CP3" i="1"/>
  <c r="CP3" i="4"/>
  <c r="P1" i="1"/>
  <c r="P1" i="4"/>
  <c r="AQ12" i="1"/>
  <c r="AQ12" i="4"/>
  <c r="BV12" i="1"/>
  <c r="BV12" i="4"/>
  <c r="J12" i="1"/>
  <c r="J12" i="4"/>
  <c r="AU11" i="1"/>
  <c r="AU11" i="4"/>
  <c r="CF10" i="1"/>
  <c r="CF10" i="4"/>
  <c r="CU9" i="1"/>
  <c r="CU9" i="4"/>
  <c r="BT8" i="1"/>
  <c r="BT8" i="4"/>
  <c r="AS7" i="4"/>
  <c r="AS7" i="1"/>
  <c r="CG12" i="1"/>
  <c r="CG12" i="4"/>
  <c r="CR12" i="1"/>
  <c r="CR12" i="4"/>
  <c r="AF12" i="1"/>
  <c r="AF12" i="4"/>
  <c r="BQ11" i="1"/>
  <c r="BQ11" i="4"/>
  <c r="E11" i="4"/>
  <c r="E11" i="1"/>
  <c r="AP10" i="4"/>
  <c r="AP10" i="1"/>
  <c r="CV8" i="1"/>
  <c r="CV8" i="4"/>
  <c r="AG7" i="1"/>
  <c r="AG7" i="4"/>
  <c r="CW9" i="1"/>
  <c r="CW9" i="4"/>
  <c r="Q9" i="1"/>
  <c r="Q9" i="4"/>
  <c r="V8" i="1"/>
  <c r="V8" i="4"/>
  <c r="CR6" i="1"/>
  <c r="CR6" i="4"/>
  <c r="BQ5" i="1"/>
  <c r="BQ5" i="4"/>
  <c r="AP4" i="1"/>
  <c r="AP4" i="4"/>
  <c r="O3" i="1"/>
  <c r="O3" i="4"/>
  <c r="CK1" i="4"/>
  <c r="CK1" i="1"/>
  <c r="N11" i="1"/>
  <c r="N11" i="4"/>
  <c r="J6" i="1"/>
  <c r="J6" i="4"/>
  <c r="CF4" i="4"/>
  <c r="CF4" i="1"/>
  <c r="BE3" i="1"/>
  <c r="BE3" i="4"/>
  <c r="AD2" i="1"/>
  <c r="AD2" i="4"/>
  <c r="M12" i="1"/>
  <c r="M12" i="4"/>
  <c r="AI1" i="4"/>
  <c r="AI1" i="1"/>
  <c r="Q10" i="4"/>
  <c r="Q10" i="1"/>
  <c r="BJ7" i="4"/>
  <c r="BJ7" i="1"/>
  <c r="AW8" i="1"/>
  <c r="AW8" i="4"/>
  <c r="Y4" i="1"/>
  <c r="Y4" i="4"/>
  <c r="V5" i="1"/>
  <c r="V5" i="4"/>
  <c r="BQ2" i="1"/>
  <c r="BQ2" i="4"/>
  <c r="CE2" i="1"/>
  <c r="CE2" i="4"/>
  <c r="BX9" i="4"/>
  <c r="BX9" i="1"/>
  <c r="G1" i="1"/>
  <c r="G1" i="4"/>
  <c r="CD11" i="1"/>
  <c r="CD11" i="4"/>
  <c r="P11" i="1"/>
  <c r="P11" i="4"/>
  <c r="BA10" i="1"/>
  <c r="BA10" i="4"/>
  <c r="CL9" i="1"/>
  <c r="CL9" i="4"/>
  <c r="Z9" i="1"/>
  <c r="Z9" i="4"/>
  <c r="BK8" i="1"/>
  <c r="BK8" i="4"/>
  <c r="CV7" i="1"/>
  <c r="CV7" i="4"/>
  <c r="F7" i="4"/>
  <c r="F7" i="1"/>
  <c r="CB5" i="4"/>
  <c r="CB5" i="1"/>
  <c r="BA4" i="4"/>
  <c r="BA4" i="1"/>
  <c r="CG8" i="1"/>
  <c r="CG8" i="4"/>
  <c r="U8" i="1"/>
  <c r="U8" i="4"/>
  <c r="AX7" i="1"/>
  <c r="AX7" i="4"/>
  <c r="W6" i="1"/>
  <c r="W6" i="4"/>
  <c r="CS4" i="1"/>
  <c r="CS4" i="4"/>
  <c r="AV7" i="4"/>
  <c r="AV7" i="1"/>
  <c r="CG6" i="4"/>
  <c r="CG6" i="1"/>
  <c r="U6" i="4"/>
  <c r="U6" i="1"/>
  <c r="BF5" i="4"/>
  <c r="BF5" i="1"/>
  <c r="CQ4" i="4"/>
  <c r="CQ4" i="1"/>
  <c r="AE4" i="4"/>
  <c r="AE4" i="1"/>
  <c r="BP3" i="4"/>
  <c r="BP3" i="1"/>
  <c r="DA2" i="4"/>
  <c r="DA2" i="1"/>
  <c r="AO2" i="1"/>
  <c r="AO2" i="4"/>
  <c r="BZ1" i="1"/>
  <c r="BZ1" i="4"/>
  <c r="CD3" i="1"/>
  <c r="CD3" i="4"/>
  <c r="R3" i="1"/>
  <c r="R3" i="4"/>
  <c r="BC2" i="1"/>
  <c r="BC2" i="4"/>
  <c r="CN1" i="1"/>
  <c r="CN1" i="4"/>
  <c r="BF1" i="1"/>
  <c r="BF1" i="4"/>
  <c r="AP8" i="1"/>
  <c r="AP8" i="4"/>
  <c r="CA7" i="1"/>
  <c r="CA7" i="4"/>
  <c r="O7" i="4"/>
  <c r="O7" i="1"/>
  <c r="AZ6" i="4"/>
  <c r="AZ6" i="1"/>
  <c r="CK5" i="1"/>
  <c r="CK5" i="4"/>
  <c r="Y5" i="1"/>
  <c r="Y5" i="4"/>
  <c r="BJ4" i="1"/>
  <c r="BJ4" i="4"/>
  <c r="CU3" i="1"/>
  <c r="CU3" i="4"/>
  <c r="AI3" i="1"/>
  <c r="AI3" i="4"/>
  <c r="BT2" i="1"/>
  <c r="BT2" i="4"/>
  <c r="H2" i="1"/>
  <c r="H2" i="4"/>
  <c r="AS1" i="1"/>
  <c r="AS1" i="4"/>
  <c r="BB11" i="1"/>
  <c r="BB11" i="4"/>
  <c r="AA10" i="1"/>
  <c r="AA10" i="4"/>
  <c r="AD6" i="1"/>
  <c r="AD6" i="4"/>
  <c r="BO5" i="1"/>
  <c r="BO5" i="4"/>
  <c r="CZ4" i="1"/>
  <c r="CZ4" i="4"/>
  <c r="AN4" i="1"/>
  <c r="AN4" i="4"/>
  <c r="BY3" i="1"/>
  <c r="BY3" i="4"/>
  <c r="M3" i="1"/>
  <c r="M3" i="4"/>
  <c r="AX2" i="1"/>
  <c r="AX2" i="4"/>
  <c r="CI1" i="1"/>
  <c r="CI1" i="4"/>
  <c r="CW12" i="1"/>
  <c r="CW12" i="4"/>
  <c r="J11" i="1"/>
  <c r="J11" i="4"/>
  <c r="CF9" i="1"/>
  <c r="CF9" i="4"/>
  <c r="K1" i="1"/>
  <c r="K1" i="4"/>
  <c r="CH11" i="1"/>
  <c r="CH11" i="4"/>
  <c r="T11" i="1"/>
  <c r="T11" i="4"/>
  <c r="BE10" i="1"/>
  <c r="BE10" i="4"/>
  <c r="CP9" i="1"/>
  <c r="CP9" i="4"/>
  <c r="AD9" i="1"/>
  <c r="AD9" i="4"/>
  <c r="BO8" i="1"/>
  <c r="BO8" i="4"/>
  <c r="CZ7" i="1"/>
  <c r="CZ7" i="4"/>
  <c r="N7" i="1"/>
  <c r="N7" i="4"/>
  <c r="CJ5" i="1"/>
  <c r="CJ5" i="4"/>
  <c r="BI4" i="1"/>
  <c r="BI4" i="4"/>
  <c r="CK8" i="1"/>
  <c r="CK8" i="4"/>
  <c r="Y8" i="1"/>
  <c r="Y8" i="4"/>
  <c r="BF7" i="4"/>
  <c r="BF7" i="1"/>
  <c r="AE6" i="4"/>
  <c r="AE6" i="1"/>
  <c r="DA4" i="4"/>
  <c r="DA4" i="1"/>
  <c r="AZ7" i="1"/>
  <c r="AZ7" i="4"/>
  <c r="CK6" i="4"/>
  <c r="CK6" i="1"/>
  <c r="Y6" i="4"/>
  <c r="Y6" i="1"/>
  <c r="BJ5" i="4"/>
  <c r="BJ5" i="1"/>
  <c r="CU4" i="4"/>
  <c r="CU4" i="1"/>
  <c r="AI4" i="4"/>
  <c r="AI4" i="1"/>
  <c r="BT3" i="4"/>
  <c r="BT3" i="1"/>
  <c r="H3" i="4"/>
  <c r="H3" i="1"/>
  <c r="AS2" i="4"/>
  <c r="AS2" i="1"/>
  <c r="CD1" i="4"/>
  <c r="CD1" i="1"/>
  <c r="CH3" i="4"/>
  <c r="CH3" i="1"/>
  <c r="V3" i="4"/>
  <c r="V3" i="1"/>
  <c r="BG2" i="4"/>
  <c r="BG2" i="1"/>
  <c r="CR1" i="4"/>
  <c r="CR1" i="1"/>
  <c r="BJ1" i="1"/>
  <c r="BJ1" i="4"/>
  <c r="AU9" i="1"/>
  <c r="AU9" i="4"/>
  <c r="T8" i="1"/>
  <c r="T8" i="4"/>
  <c r="CP6" i="1"/>
  <c r="CP6" i="4"/>
  <c r="DA9" i="4"/>
  <c r="DA9" i="1"/>
  <c r="AO9" i="1"/>
  <c r="AO9" i="4"/>
  <c r="BZ8" i="1"/>
  <c r="BZ8" i="4"/>
  <c r="N8" i="1"/>
  <c r="N8" i="4"/>
  <c r="AY7" i="1"/>
  <c r="AY7" i="4"/>
  <c r="CJ6" i="1"/>
  <c r="CJ6" i="4"/>
  <c r="X6" i="1"/>
  <c r="X6" i="4"/>
  <c r="BI5" i="1"/>
  <c r="BI5" i="4"/>
  <c r="CT4" i="1"/>
  <c r="CT4" i="4"/>
  <c r="AH4" i="1"/>
  <c r="AH4" i="4"/>
  <c r="BS3" i="1"/>
  <c r="BS3" i="4"/>
  <c r="G3" i="1"/>
  <c r="G3" i="4"/>
  <c r="AR2" i="1"/>
  <c r="AR2" i="4"/>
  <c r="CC1" i="1"/>
  <c r="CC1" i="4"/>
  <c r="BW12" i="4"/>
  <c r="BW12" i="1"/>
  <c r="CU10" i="4"/>
  <c r="CU10" i="1"/>
  <c r="BT9" i="4"/>
  <c r="BT9" i="1"/>
  <c r="CY5" i="1"/>
  <c r="CY5" i="4"/>
  <c r="AM5" i="1"/>
  <c r="AM5" i="4"/>
  <c r="BX4" i="1"/>
  <c r="BX4" i="4"/>
  <c r="L4" i="1"/>
  <c r="L4" i="4"/>
  <c r="AW3" i="1"/>
  <c r="AW3" i="4"/>
  <c r="CH2" i="1"/>
  <c r="CH2" i="4"/>
  <c r="V2" i="1"/>
  <c r="V2" i="4"/>
  <c r="BG1" i="1"/>
  <c r="BG1" i="4"/>
  <c r="CF11" i="1"/>
  <c r="CF11" i="4"/>
  <c r="BC10" i="1"/>
  <c r="BC10" i="4"/>
  <c r="AB9" i="1"/>
  <c r="AB9" i="4"/>
  <c r="BI12" i="1"/>
  <c r="BI12" i="4"/>
  <c r="BD11" i="1"/>
  <c r="BD11" i="4"/>
  <c r="CO10" i="1"/>
  <c r="CO10" i="4"/>
  <c r="AC10" i="1"/>
  <c r="AC10" i="4"/>
  <c r="BN9" i="1"/>
  <c r="BN9" i="4"/>
  <c r="CY8" i="1"/>
  <c r="CY8" i="4"/>
  <c r="AM8" i="1"/>
  <c r="AM8" i="4"/>
  <c r="BX7" i="1"/>
  <c r="BX7" i="4"/>
  <c r="BG6" i="1"/>
  <c r="BG6" i="4"/>
  <c r="AF5" i="1"/>
  <c r="AF5" i="4"/>
  <c r="E4" i="1"/>
  <c r="E4" i="4"/>
  <c r="BI8" i="1"/>
  <c r="BI8" i="4"/>
  <c r="CT7" i="1"/>
  <c r="CT7" i="4"/>
  <c r="CY6" i="1"/>
  <c r="CY6" i="4"/>
  <c r="BX5" i="1"/>
  <c r="BX5" i="4"/>
  <c r="AW4" i="1"/>
  <c r="AW4" i="4"/>
  <c r="X7" i="1"/>
  <c r="X7" i="4"/>
  <c r="BI6" i="1"/>
  <c r="BI6" i="4"/>
  <c r="CT5" i="1"/>
  <c r="CT5" i="4"/>
  <c r="AH5" i="1"/>
  <c r="AH5" i="4"/>
  <c r="BS4" i="1"/>
  <c r="BS4" i="4"/>
  <c r="G4" i="1"/>
  <c r="G4" i="4"/>
  <c r="AR3" i="1"/>
  <c r="AR3" i="4"/>
  <c r="CC2" i="1"/>
  <c r="CC2" i="4"/>
  <c r="Q2" i="1"/>
  <c r="Q2" i="4"/>
  <c r="AR1" i="1"/>
  <c r="AR1" i="4"/>
  <c r="BF3" i="1"/>
  <c r="BF3" i="4"/>
  <c r="CQ2" i="1"/>
  <c r="CQ2" i="4"/>
  <c r="AE2" i="1"/>
  <c r="AE2" i="4"/>
  <c r="BP1" i="1"/>
  <c r="BP1" i="4"/>
  <c r="AH1" i="4"/>
  <c r="AH1" i="1"/>
  <c r="BD12" i="1"/>
  <c r="BD12" i="4"/>
  <c r="CO11" i="1"/>
  <c r="CO11" i="4"/>
  <c r="AC11" i="1"/>
  <c r="AC11" i="4"/>
  <c r="BN10" i="1"/>
  <c r="BN10" i="4"/>
  <c r="BK9" i="1"/>
  <c r="BK9" i="4"/>
  <c r="CS7" i="4"/>
  <c r="CS7" i="1"/>
  <c r="AF10" i="1"/>
  <c r="AF10" i="4"/>
  <c r="AW9" i="1"/>
  <c r="AW9" i="4"/>
  <c r="BN8" i="4"/>
  <c r="BN8" i="1"/>
  <c r="AQ7" i="4"/>
  <c r="AQ7" i="1"/>
  <c r="P6" i="4"/>
  <c r="P6" i="1"/>
  <c r="CL4" i="4"/>
  <c r="CL4" i="1"/>
  <c r="BK3" i="4"/>
  <c r="BK3" i="1"/>
  <c r="AJ2" i="4"/>
  <c r="AJ2" i="1"/>
  <c r="AM12" i="1"/>
  <c r="AM12" i="4"/>
  <c r="BD9" i="1"/>
  <c r="BD9" i="4"/>
  <c r="AE5" i="1"/>
  <c r="AE5" i="4"/>
  <c r="DA3" i="4"/>
  <c r="DA3" i="1"/>
  <c r="BZ2" i="4"/>
  <c r="BZ2" i="1"/>
  <c r="AY1" i="4"/>
  <c r="AY1" i="1"/>
  <c r="AM10" i="4"/>
  <c r="AM10" i="1"/>
  <c r="L11" i="1"/>
  <c r="L11" i="4"/>
  <c r="BG8" i="4"/>
  <c r="BG8" i="1"/>
  <c r="AS4" i="4"/>
  <c r="AS4" i="1"/>
  <c r="O6" i="1"/>
  <c r="O6" i="4"/>
  <c r="Q6" i="1"/>
  <c r="Q6" i="4"/>
  <c r="BL3" i="1"/>
  <c r="BL3" i="4"/>
  <c r="BZ3" i="1"/>
  <c r="BZ3" i="4"/>
  <c r="BB1" i="1"/>
  <c r="BB1" i="4"/>
  <c r="G12" i="1"/>
  <c r="G12" i="4"/>
  <c r="BB12" i="1"/>
  <c r="BB12" i="4"/>
  <c r="CM11" i="1"/>
  <c r="CM11" i="4"/>
  <c r="AA11" i="1"/>
  <c r="AA11" i="4"/>
  <c r="BL10" i="1"/>
  <c r="BL10" i="4"/>
  <c r="BG9" i="1"/>
  <c r="BG9" i="4"/>
  <c r="AF8" i="1"/>
  <c r="AF8" i="4"/>
  <c r="E7" i="1"/>
  <c r="E7" i="4"/>
  <c r="AU12" i="1"/>
  <c r="AU12" i="4"/>
  <c r="BX12" i="1"/>
  <c r="BX12" i="4"/>
  <c r="L12" i="4"/>
  <c r="L12" i="1"/>
  <c r="AW11" i="4"/>
  <c r="AW11" i="1"/>
  <c r="CH10" i="1"/>
  <c r="CH10" i="4"/>
  <c r="CY9" i="1"/>
  <c r="CY9" i="4"/>
  <c r="AR8" i="1"/>
  <c r="AR8" i="4"/>
  <c r="BZ6" i="1"/>
  <c r="BZ6" i="4"/>
  <c r="BY9" i="4"/>
  <c r="BY9" i="1"/>
  <c r="CL8" i="1"/>
  <c r="CL8" i="4"/>
  <c r="CI7" i="4"/>
  <c r="CI7" i="1"/>
  <c r="BH6" i="1"/>
  <c r="BH6" i="4"/>
  <c r="AG5" i="1"/>
  <c r="AG5" i="4"/>
  <c r="F4" i="1"/>
  <c r="F4" i="4"/>
  <c r="CB2" i="1"/>
  <c r="CB2" i="4"/>
  <c r="BA1" i="1"/>
  <c r="BA1" i="4"/>
  <c r="AQ10" i="1"/>
  <c r="AQ10" i="4"/>
  <c r="BW5" i="1"/>
  <c r="BW5" i="4"/>
  <c r="AV4" i="1"/>
  <c r="AV4" i="4"/>
  <c r="U3" i="1"/>
  <c r="U3" i="4"/>
  <c r="CQ1" i="1"/>
  <c r="CQ1" i="4"/>
  <c r="Z11" i="1"/>
  <c r="Z11" i="4"/>
  <c r="CX11" i="4"/>
  <c r="CX11" i="1"/>
  <c r="AL9" i="1"/>
  <c r="AL9" i="4"/>
  <c r="CZ5" i="1"/>
  <c r="CZ5" i="4"/>
  <c r="BR7" i="4"/>
  <c r="BR7" i="1"/>
  <c r="CS6" i="1"/>
  <c r="CS6" i="4"/>
  <c r="AQ4" i="1"/>
  <c r="AQ4" i="4"/>
  <c r="CL1" i="1"/>
  <c r="CL1" i="4"/>
  <c r="CZ1" i="1"/>
  <c r="CZ1" i="4"/>
  <c r="BU12" i="4"/>
  <c r="BU12" i="1"/>
  <c r="CL12" i="4"/>
  <c r="CL12" i="1"/>
  <c r="Z12" i="4"/>
  <c r="Z12" i="1"/>
  <c r="BK11" i="4"/>
  <c r="BK11" i="1"/>
  <c r="CV10" i="4"/>
  <c r="CV10" i="1"/>
  <c r="AD10" i="4"/>
  <c r="AD10" i="1"/>
  <c r="CZ8" i="4"/>
  <c r="CZ8" i="1"/>
  <c r="BY7" i="4"/>
  <c r="BY7" i="1"/>
  <c r="AX6" i="4"/>
  <c r="AX6" i="1"/>
  <c r="CR11" i="4"/>
  <c r="CR11" i="1"/>
  <c r="AV12" i="1"/>
  <c r="AV12" i="4"/>
  <c r="CG11" i="1"/>
  <c r="CG11" i="4"/>
  <c r="U11" i="1"/>
  <c r="U11" i="4"/>
  <c r="BF10" i="1"/>
  <c r="BF10" i="4"/>
  <c r="AM9" i="1"/>
  <c r="AM9" i="4"/>
  <c r="BU7" i="4"/>
  <c r="BU7" i="1"/>
  <c r="X10" i="4"/>
  <c r="X10" i="1"/>
  <c r="AK9" i="1"/>
  <c r="AK9" i="4"/>
  <c r="BB8" i="1"/>
  <c r="BB8" i="4"/>
  <c r="AA7" i="1"/>
  <c r="AA7" i="4"/>
  <c r="CW5" i="1"/>
  <c r="CW5" i="4"/>
  <c r="BV4" i="1"/>
  <c r="BV4" i="4"/>
  <c r="AU3" i="1"/>
  <c r="AU3" i="4"/>
  <c r="T2" i="1"/>
  <c r="T2" i="4"/>
  <c r="CB11" i="4"/>
  <c r="CB11" i="1"/>
  <c r="X9" i="1"/>
  <c r="X9" i="4"/>
  <c r="O5" i="4"/>
  <c r="O5" i="1"/>
  <c r="CK3" i="1"/>
  <c r="CK3" i="4"/>
  <c r="BJ2" i="1"/>
  <c r="BJ2" i="4"/>
  <c r="Y1" i="1"/>
  <c r="Y1" i="4"/>
  <c r="G10" i="1"/>
  <c r="G10" i="4"/>
  <c r="CC10" i="4"/>
  <c r="CC10" i="1"/>
  <c r="AA8" i="4"/>
  <c r="AA8" i="1"/>
  <c r="L9" i="4"/>
  <c r="L9" i="1"/>
  <c r="AZ5" i="1"/>
  <c r="AZ5" i="4"/>
  <c r="CH5" i="1"/>
  <c r="CH5" i="4"/>
  <c r="AF3" i="1"/>
  <c r="AF3" i="4"/>
  <c r="AT3" i="1"/>
  <c r="AT3" i="4"/>
  <c r="V1" i="1"/>
  <c r="V1" i="4"/>
  <c r="W1" i="1"/>
  <c r="W1" i="4"/>
  <c r="I12" i="1"/>
  <c r="I12" i="4"/>
  <c r="AF11" i="1"/>
  <c r="AF11" i="4"/>
  <c r="BQ10" i="1"/>
  <c r="BQ10" i="4"/>
  <c r="E10" i="1"/>
  <c r="E10" i="4"/>
  <c r="AP9" i="1"/>
  <c r="AP9" i="4"/>
  <c r="CA8" i="1"/>
  <c r="CA8" i="4"/>
  <c r="O8" i="1"/>
  <c r="O8" i="4"/>
  <c r="AL7" i="1"/>
  <c r="AL7" i="4"/>
  <c r="K6" i="1"/>
  <c r="K6" i="4"/>
  <c r="CG4" i="1"/>
  <c r="CG4" i="4"/>
  <c r="CW8" i="1"/>
  <c r="CW8" i="4"/>
  <c r="AK8" i="1"/>
  <c r="AK8" i="4"/>
  <c r="BV7" i="1"/>
  <c r="BV7" i="4"/>
  <c r="BC6" i="1"/>
  <c r="BC6" i="4"/>
  <c r="AB5" i="1"/>
  <c r="AB5" i="4"/>
  <c r="BL7" i="1"/>
  <c r="BL7" i="4"/>
  <c r="CW6" i="1"/>
  <c r="CW6" i="4"/>
  <c r="AK6" i="1"/>
  <c r="AK6" i="4"/>
  <c r="BV5" i="1"/>
  <c r="BV5" i="4"/>
  <c r="J5" i="1"/>
  <c r="J5" i="4"/>
  <c r="AU4" i="1"/>
  <c r="AU4" i="4"/>
  <c r="CF3" i="1"/>
  <c r="CF3" i="4"/>
  <c r="T3" i="1"/>
  <c r="T3" i="4"/>
  <c r="BE2" i="4"/>
  <c r="BE2" i="1"/>
  <c r="CP1" i="4"/>
  <c r="CP1" i="1"/>
  <c r="CT3" i="4"/>
  <c r="CT3" i="1"/>
  <c r="AH3" i="4"/>
  <c r="AH3" i="1"/>
  <c r="BS2" i="4"/>
  <c r="BS2" i="1"/>
  <c r="G2" i="4"/>
  <c r="G2" i="1"/>
  <c r="X1" i="1"/>
  <c r="X1" i="4"/>
  <c r="J1" i="1"/>
  <c r="J1" i="4"/>
  <c r="CQ7" i="1"/>
  <c r="CQ7" i="4"/>
  <c r="AE7" i="1"/>
  <c r="AE7" i="4"/>
  <c r="BP6" i="1"/>
  <c r="BP6" i="4"/>
  <c r="DA5" i="4"/>
  <c r="DA5" i="1"/>
  <c r="AO5" i="4"/>
  <c r="AO5" i="1"/>
  <c r="BZ4" i="4"/>
  <c r="BZ4" i="1"/>
  <c r="N4" i="4"/>
  <c r="N4" i="1"/>
  <c r="AY3" i="4"/>
  <c r="AY3" i="1"/>
  <c r="CJ2" i="4"/>
  <c r="CJ2" i="1"/>
  <c r="X2" i="4"/>
  <c r="X2" i="1"/>
  <c r="BI1" i="4"/>
  <c r="BI1" i="1"/>
  <c r="CL11" i="4"/>
  <c r="CL11" i="1"/>
  <c r="BG10" i="4"/>
  <c r="BG10" i="1"/>
  <c r="AF9" i="4"/>
  <c r="AF9" i="1"/>
  <c r="CE5" i="1"/>
  <c r="CE5" i="4"/>
  <c r="S5" i="4"/>
  <c r="S5" i="1"/>
  <c r="BD4" i="4"/>
  <c r="BD4" i="1"/>
  <c r="CO3" i="4"/>
  <c r="CO3" i="1"/>
  <c r="AC3" i="4"/>
  <c r="AC3" i="1"/>
  <c r="BN2" i="4"/>
  <c r="BN2" i="1"/>
  <c r="CY1" i="4"/>
  <c r="CY1" i="1"/>
  <c r="AG1" i="1"/>
  <c r="AG1" i="4"/>
  <c r="AP11" i="1"/>
  <c r="AP11" i="4"/>
  <c r="O10" i="1"/>
  <c r="O10" i="4"/>
  <c r="AA1" i="1"/>
  <c r="AA1" i="4"/>
  <c r="S12" i="1"/>
  <c r="S12" i="4"/>
  <c r="AJ11" i="1"/>
  <c r="AJ11" i="4"/>
  <c r="BU10" i="1"/>
  <c r="BU10" i="4"/>
  <c r="I10" i="1"/>
  <c r="I10" i="4"/>
  <c r="AT9" i="1"/>
  <c r="AT9" i="4"/>
  <c r="CE8" i="1"/>
  <c r="CE8" i="4"/>
  <c r="S8" i="1"/>
  <c r="S8" i="4"/>
  <c r="AT7" i="1"/>
  <c r="AT7" i="4"/>
  <c r="S6" i="1"/>
  <c r="S6" i="4"/>
  <c r="CO4" i="1"/>
  <c r="CO4" i="4"/>
  <c r="DA8" i="4"/>
  <c r="DA8" i="1"/>
  <c r="AO8" i="1"/>
  <c r="AO8" i="4"/>
  <c r="BZ7" i="1"/>
  <c r="BZ7" i="4"/>
  <c r="BK6" i="1"/>
  <c r="BK6" i="4"/>
  <c r="AJ5" i="1"/>
  <c r="AJ5" i="4"/>
  <c r="I4" i="4"/>
  <c r="I4" i="1"/>
  <c r="DA6" i="4"/>
  <c r="DA6" i="1"/>
  <c r="AO6" i="1"/>
  <c r="AO6" i="4"/>
  <c r="BZ5" i="1"/>
  <c r="BZ5" i="4"/>
  <c r="N5" i="1"/>
  <c r="N5" i="4"/>
  <c r="AY4" i="1"/>
  <c r="AY4" i="4"/>
  <c r="CJ3" i="1"/>
  <c r="CJ3" i="4"/>
  <c r="X3" i="1"/>
  <c r="X3" i="4"/>
  <c r="BI2" i="1"/>
  <c r="BI2" i="4"/>
  <c r="CT1" i="1"/>
  <c r="CT1" i="4"/>
  <c r="CX3" i="1"/>
  <c r="CX3" i="4"/>
  <c r="AL3" i="1"/>
  <c r="AL3" i="4"/>
  <c r="BW2" i="1"/>
  <c r="BW2" i="4"/>
  <c r="K2" i="1"/>
  <c r="K2" i="4"/>
  <c r="AF1" i="1"/>
  <c r="AF1" i="4"/>
  <c r="N1" i="1"/>
  <c r="N1" i="4"/>
  <c r="AZ8" i="4"/>
  <c r="AZ8" i="1"/>
  <c r="Y7" i="1"/>
  <c r="Y7" i="4"/>
  <c r="T10" i="1"/>
  <c r="T10" i="4"/>
  <c r="BE9" i="1"/>
  <c r="BE9" i="4"/>
  <c r="CP8" i="1"/>
  <c r="CP8" i="4"/>
  <c r="AD8" i="1"/>
  <c r="AD8" i="4"/>
  <c r="BO7" i="1"/>
  <c r="BO7" i="4"/>
  <c r="CZ6" i="1"/>
  <c r="CZ6" i="4"/>
  <c r="AN6" i="1"/>
  <c r="AN6" i="4"/>
  <c r="BY5" i="1"/>
  <c r="BY5" i="4"/>
  <c r="M5" i="1"/>
  <c r="M5" i="4"/>
  <c r="AX4" i="1"/>
  <c r="AX4" i="4"/>
  <c r="CI3" i="1"/>
  <c r="CI3" i="4"/>
  <c r="W3" i="1"/>
  <c r="W3" i="4"/>
  <c r="BH2" i="1"/>
  <c r="BH2" i="4"/>
  <c r="CS1" i="1"/>
  <c r="CS1" i="4"/>
  <c r="U1" i="1"/>
  <c r="U1" i="4"/>
  <c r="AD11" i="1"/>
  <c r="AD11" i="4"/>
  <c r="CZ9" i="1"/>
  <c r="CZ9" i="4"/>
  <c r="R6" i="4"/>
  <c r="R6" i="1"/>
  <c r="BC5" i="4"/>
  <c r="BC5" i="1"/>
  <c r="CN4" i="1"/>
  <c r="CN4" i="4"/>
  <c r="AB4" i="1"/>
  <c r="AB4" i="4"/>
  <c r="BM3" i="1"/>
  <c r="BM3" i="4"/>
  <c r="CX2" i="1"/>
  <c r="CX2" i="4"/>
  <c r="AL2" i="1"/>
  <c r="AL2" i="4"/>
  <c r="BW1" i="1"/>
  <c r="BW1" i="4"/>
  <c r="AW12" i="1"/>
  <c r="AW12" i="4"/>
  <c r="CI10" i="1"/>
  <c r="CI10" i="4"/>
  <c r="BH9" i="1"/>
  <c r="BH9" i="4"/>
  <c r="CQ12" i="4"/>
  <c r="CQ12" i="1"/>
  <c r="BT11" i="4"/>
  <c r="BT11" i="1"/>
  <c r="H11" i="4"/>
  <c r="H11" i="1"/>
  <c r="AS10" i="4"/>
  <c r="AS10" i="1"/>
  <c r="CD9" i="4"/>
  <c r="CD9" i="1"/>
  <c r="R9" i="4"/>
  <c r="R9" i="1"/>
  <c r="BC8" i="4"/>
  <c r="BC8" i="1"/>
  <c r="CN7" i="4"/>
  <c r="CN7" i="1"/>
  <c r="CM6" i="1"/>
  <c r="CM6" i="4"/>
  <c r="BL5" i="1"/>
  <c r="BL5" i="4"/>
  <c r="AK4" i="1"/>
  <c r="AK4" i="4"/>
  <c r="BY8" i="4"/>
  <c r="BY8" i="1"/>
  <c r="M8" i="4"/>
  <c r="M8" i="1"/>
  <c r="AH7" i="4"/>
  <c r="AH7" i="1"/>
  <c r="G6" i="4"/>
  <c r="G6" i="1"/>
  <c r="CC4" i="4"/>
  <c r="CC4" i="1"/>
  <c r="AN7" i="1"/>
  <c r="AN7" i="4"/>
  <c r="BY6" i="1"/>
  <c r="BY6" i="4"/>
  <c r="M6" i="1"/>
  <c r="M6" i="4"/>
  <c r="AX5" i="1"/>
  <c r="AX5" i="4"/>
  <c r="CI4" i="1"/>
  <c r="CI4" i="4"/>
  <c r="W4" i="1"/>
  <c r="W4" i="4"/>
  <c r="BH3" i="1"/>
  <c r="BH3" i="4"/>
  <c r="CS2" i="1"/>
  <c r="CS2" i="4"/>
  <c r="AG2" i="1"/>
  <c r="AG2" i="4"/>
  <c r="BR1" i="1"/>
  <c r="BR1" i="4"/>
  <c r="BV3" i="1"/>
  <c r="BV3" i="4"/>
  <c r="J3" i="1"/>
  <c r="J3" i="4"/>
  <c r="AU2" i="1"/>
  <c r="AU2" i="4"/>
  <c r="CF1" i="1"/>
  <c r="CF1" i="4"/>
  <c r="AX1" i="1"/>
  <c r="AX1" i="4"/>
  <c r="BR12" i="1"/>
  <c r="BR12" i="4"/>
  <c r="F12" i="1"/>
  <c r="F12" i="4"/>
  <c r="AQ11" i="1"/>
  <c r="AQ11" i="4"/>
  <c r="CB10" i="1"/>
  <c r="CB10" i="4"/>
  <c r="CM9" i="4"/>
  <c r="CM9" i="1"/>
  <c r="BL8" i="4"/>
  <c r="BL8" i="1"/>
  <c r="AK7" i="1"/>
  <c r="AK7" i="4"/>
  <c r="BY12" i="1"/>
  <c r="BY12" i="4"/>
  <c r="CN12" i="1"/>
  <c r="CN12" i="4"/>
  <c r="AB12" i="4"/>
  <c r="AB12" i="1"/>
  <c r="BM11" i="4"/>
  <c r="BM11" i="1"/>
  <c r="CX10" i="4"/>
  <c r="CX10" i="1"/>
  <c r="AH10" i="1"/>
  <c r="AH10" i="4"/>
  <c r="CN8" i="4"/>
  <c r="CN8" i="1"/>
  <c r="Q7" i="4"/>
  <c r="Q7" i="1"/>
  <c r="CS9" i="4"/>
  <c r="CS9" i="1"/>
  <c r="M9" i="4"/>
  <c r="M9" i="1"/>
  <c r="R8" i="4"/>
  <c r="R8" i="1"/>
  <c r="CN6" i="1"/>
  <c r="CN6" i="4"/>
  <c r="BM5" i="1"/>
  <c r="BM5" i="4"/>
  <c r="AL4" i="1"/>
  <c r="AL4" i="4"/>
  <c r="K3" i="1"/>
  <c r="K3" i="4"/>
  <c r="CG1" i="1"/>
  <c r="CG1" i="4"/>
  <c r="F11" i="1"/>
  <c r="F11" i="4"/>
  <c r="F6" i="1"/>
  <c r="F6" i="4"/>
  <c r="CB4" i="1"/>
  <c r="CB4" i="4"/>
  <c r="BA3" i="1"/>
  <c r="BA3" i="4"/>
  <c r="Z2" i="1"/>
  <c r="Z2" i="4"/>
  <c r="CT11" i="1"/>
  <c r="CT11" i="4"/>
  <c r="S1" i="1"/>
  <c r="S1" i="4"/>
  <c r="CX9" i="1"/>
  <c r="CX9" i="4"/>
  <c r="AD7" i="1"/>
  <c r="AD7" i="4"/>
  <c r="AG8" i="4"/>
  <c r="AG8" i="1"/>
  <c r="BH7" i="1"/>
  <c r="BH7" i="4"/>
  <c r="F5" i="1"/>
  <c r="F5" i="4"/>
  <c r="BA2" i="1"/>
  <c r="BA2" i="4"/>
  <c r="BO2" i="1"/>
  <c r="BO2" i="4"/>
  <c r="CY12" i="1"/>
  <c r="CY12" i="4"/>
  <c r="BZ11" i="1"/>
  <c r="BZ11" i="4"/>
  <c r="AP12" i="1"/>
  <c r="AP12" i="4"/>
  <c r="CA11" i="1"/>
  <c r="CA11" i="4"/>
  <c r="O11" i="1"/>
  <c r="O11" i="4"/>
  <c r="AZ10" i="1"/>
  <c r="AZ10" i="4"/>
  <c r="AI9" i="1"/>
  <c r="AI9" i="4"/>
  <c r="H8" i="1"/>
  <c r="H8" i="4"/>
  <c r="CD6" i="4"/>
  <c r="CD6" i="1"/>
  <c r="Y12" i="1"/>
  <c r="Y12" i="4"/>
  <c r="BL12" i="1"/>
  <c r="BL12" i="4"/>
  <c r="CW11" i="1"/>
  <c r="CW11" i="4"/>
  <c r="AK11" i="4"/>
  <c r="AK11" i="1"/>
  <c r="BV10" i="4"/>
  <c r="BV10" i="1"/>
  <c r="CA9" i="4"/>
  <c r="CA9" i="1"/>
  <c r="L8" i="1"/>
  <c r="L8" i="4"/>
  <c r="AT6" i="4"/>
  <c r="AT6" i="1"/>
  <c r="BI9" i="4"/>
  <c r="BI9" i="1"/>
  <c r="BV8" i="1"/>
  <c r="BV8" i="4"/>
  <c r="BG7" i="1"/>
  <c r="BG7" i="4"/>
  <c r="AF6" i="1"/>
  <c r="AF6" i="4"/>
  <c r="E5" i="1"/>
  <c r="E5" i="4"/>
  <c r="CA3" i="1"/>
  <c r="CA3" i="4"/>
  <c r="AZ2" i="1"/>
  <c r="AZ2" i="4"/>
  <c r="E1" i="1"/>
  <c r="E43" i="1" s="1"/>
  <c r="E1" i="4"/>
  <c r="CJ9" i="1"/>
  <c r="CJ9" i="4"/>
  <c r="AU5" i="1"/>
  <c r="AU5" i="4"/>
  <c r="T4" i="4"/>
  <c r="T4" i="1"/>
  <c r="CP2" i="1"/>
  <c r="CP2" i="4"/>
  <c r="BO1" i="1"/>
  <c r="BO1" i="4"/>
  <c r="BS10" i="1"/>
  <c r="BS10" i="4"/>
  <c r="AR11" i="1"/>
  <c r="AR11" i="4"/>
  <c r="CM8" i="4"/>
  <c r="CM8" i="1"/>
  <c r="H5" i="4"/>
  <c r="H5" i="1"/>
  <c r="CA6" i="1"/>
  <c r="CA6" i="4"/>
  <c r="AW6" i="1"/>
  <c r="AW6" i="4"/>
  <c r="CR3" i="1"/>
  <c r="CR3" i="4"/>
  <c r="T1" i="1"/>
  <c r="T1" i="4"/>
  <c r="AV1" i="1"/>
  <c r="AV1" i="4"/>
  <c r="AM1" i="1"/>
  <c r="AM1" i="4"/>
  <c r="AS12" i="1"/>
  <c r="AS12" i="4"/>
  <c r="AV11" i="1"/>
  <c r="AV11" i="4"/>
  <c r="CG10" i="1"/>
  <c r="CG10" i="4"/>
  <c r="U10" i="1"/>
  <c r="U10" i="4"/>
  <c r="BF9" i="1"/>
  <c r="BF9" i="4"/>
  <c r="CQ8" i="1"/>
  <c r="CQ8" i="4"/>
  <c r="AE8" i="1"/>
  <c r="AE8" i="4"/>
  <c r="BP7" i="1"/>
  <c r="BP7" i="4"/>
  <c r="AQ6" i="4"/>
  <c r="AQ6" i="1"/>
  <c r="P5" i="4"/>
  <c r="P5" i="1"/>
  <c r="P9" i="1"/>
  <c r="P9" i="4"/>
  <c r="BA8" i="1"/>
  <c r="BA8" i="4"/>
  <c r="CL7" i="1"/>
  <c r="CL7" i="4"/>
  <c r="CI6" i="1"/>
  <c r="CI6" i="4"/>
  <c r="BH5" i="1"/>
  <c r="BH5" i="4"/>
  <c r="AG4" i="1"/>
  <c r="AG4" i="4"/>
  <c r="P7" i="4"/>
  <c r="P7" i="1"/>
  <c r="BA6" i="4"/>
  <c r="BA6" i="1"/>
  <c r="CL5" i="4"/>
  <c r="CL5" i="1"/>
  <c r="Z5" i="4"/>
  <c r="Z5" i="1"/>
  <c r="BK4" i="4"/>
  <c r="BK4" i="1"/>
  <c r="CV3" i="4"/>
  <c r="CV3" i="1"/>
  <c r="AJ3" i="4"/>
  <c r="AJ3" i="1"/>
  <c r="BU2" i="1"/>
  <c r="BU2" i="4"/>
  <c r="I2" i="1"/>
  <c r="I2" i="4"/>
  <c r="AB1" i="1"/>
  <c r="AB1" i="4"/>
  <c r="AX3" i="1"/>
  <c r="AX3" i="4"/>
  <c r="CI2" i="1"/>
  <c r="CI2" i="4"/>
  <c r="W2" i="1"/>
  <c r="W2" i="4"/>
  <c r="BD1" i="1"/>
  <c r="BD1" i="4"/>
  <c r="Z1" i="1"/>
  <c r="Z1" i="4"/>
  <c r="J8" i="1"/>
  <c r="J8" i="4"/>
  <c r="AU7" i="4"/>
  <c r="AU7" i="1"/>
  <c r="CF6" i="4"/>
  <c r="CF6" i="1"/>
  <c r="T6" i="4"/>
  <c r="T6" i="1"/>
  <c r="BE5" i="1"/>
  <c r="BE5" i="4"/>
  <c r="CP4" i="1"/>
  <c r="CP4" i="4"/>
  <c r="AD4" i="1"/>
  <c r="AD4" i="4"/>
  <c r="BO3" i="1"/>
  <c r="BO3" i="4"/>
  <c r="CZ2" i="1"/>
  <c r="CZ2" i="4"/>
  <c r="AN2" i="1"/>
  <c r="AN2" i="4"/>
  <c r="BY1" i="1"/>
  <c r="BY1" i="4"/>
  <c r="BE12" i="1"/>
  <c r="BE12" i="4"/>
  <c r="CM10" i="1"/>
  <c r="CM10" i="4"/>
  <c r="BL9" i="1"/>
  <c r="BL9" i="4"/>
  <c r="CU5" i="1"/>
  <c r="CU5" i="4"/>
  <c r="AI5" i="1"/>
  <c r="AI5" i="4"/>
  <c r="BT4" i="1"/>
  <c r="BT4" i="4"/>
  <c r="H4" i="1"/>
  <c r="H4" i="4"/>
  <c r="AS3" i="1"/>
  <c r="AS3" i="4"/>
  <c r="CD2" i="1"/>
  <c r="CD2" i="4"/>
  <c r="R2" i="1"/>
  <c r="R2" i="4"/>
  <c r="BC1" i="1"/>
  <c r="BC1" i="4"/>
  <c r="BV11" i="1"/>
  <c r="BV11" i="4"/>
  <c r="AU10" i="1"/>
  <c r="AU10" i="4"/>
  <c r="AQ1" i="1"/>
  <c r="AQ1" i="4"/>
  <c r="BA12" i="1"/>
  <c r="BA12" i="4"/>
  <c r="AZ11" i="1"/>
  <c r="AZ11" i="4"/>
  <c r="CK10" i="1"/>
  <c r="CK10" i="4"/>
  <c r="Y10" i="1"/>
  <c r="Y10" i="4"/>
  <c r="BJ9" i="1"/>
  <c r="BJ9" i="4"/>
  <c r="CU8" i="1"/>
  <c r="CU8" i="4"/>
  <c r="AI8" i="1"/>
  <c r="AI8" i="4"/>
  <c r="BT7" i="1"/>
  <c r="BT7" i="4"/>
  <c r="AY6" i="1"/>
  <c r="AY6" i="4"/>
  <c r="X5" i="1"/>
  <c r="X5" i="4"/>
  <c r="T9" i="1"/>
  <c r="T9" i="4"/>
  <c r="BE8" i="1"/>
  <c r="BE8" i="4"/>
  <c r="CP7" i="1"/>
  <c r="CP7" i="4"/>
  <c r="CQ6" i="4"/>
  <c r="CQ6" i="1"/>
  <c r="BP5" i="4"/>
  <c r="BP5" i="1"/>
  <c r="AO4" i="1"/>
  <c r="AO4" i="4"/>
  <c r="T7" i="1"/>
  <c r="T7" i="4"/>
  <c r="BE6" i="4"/>
  <c r="BE6" i="1"/>
  <c r="CP5" i="4"/>
  <c r="CP5" i="1"/>
  <c r="AD5" i="4"/>
  <c r="AD5" i="1"/>
  <c r="BO4" i="4"/>
  <c r="BO4" i="1"/>
  <c r="CZ3" i="4"/>
  <c r="CZ3" i="1"/>
  <c r="AN3" i="4"/>
  <c r="AN3" i="1"/>
  <c r="BY2" i="4"/>
  <c r="BY2" i="1"/>
  <c r="M2" i="4"/>
  <c r="M2" i="1"/>
  <c r="AJ1" i="1"/>
  <c r="AJ1" i="4"/>
  <c r="BB3" i="4"/>
  <c r="BB3" i="1"/>
  <c r="CM2" i="4"/>
  <c r="CM2" i="1"/>
  <c r="AA2" i="4"/>
  <c r="AA2" i="1"/>
  <c r="BL1" i="4"/>
  <c r="BL1" i="1"/>
  <c r="AD1" i="1"/>
  <c r="AD1" i="4"/>
  <c r="CF8" i="1"/>
  <c r="CF8" i="4"/>
  <c r="BE7" i="1"/>
  <c r="BE7" i="4"/>
  <c r="AJ10" i="1"/>
  <c r="AJ10" i="4"/>
  <c r="BU9" i="1"/>
  <c r="BU9" i="4"/>
  <c r="I9" i="1"/>
  <c r="I9" i="4"/>
  <c r="AT8" i="1"/>
  <c r="AT8" i="4"/>
  <c r="CE7" i="1"/>
  <c r="CE7" i="4"/>
  <c r="S7" i="1"/>
  <c r="S7" i="4"/>
  <c r="BD6" i="1"/>
  <c r="BD6" i="4"/>
  <c r="CO5" i="1"/>
  <c r="CO5" i="4"/>
  <c r="AC5" i="1"/>
  <c r="AC5" i="4"/>
  <c r="BN4" i="1"/>
  <c r="BN4" i="4"/>
  <c r="CY3" i="1"/>
  <c r="CY3" i="4"/>
  <c r="AM3" i="1"/>
  <c r="AM3" i="4"/>
  <c r="BX2" i="1"/>
  <c r="BX2" i="4"/>
  <c r="L2" i="1"/>
  <c r="L2" i="4"/>
  <c r="AW1" i="1"/>
  <c r="AW1" i="4"/>
  <c r="BJ11" i="4"/>
  <c r="BJ11" i="1"/>
  <c r="AI10" i="4"/>
  <c r="AI10" i="1"/>
  <c r="AH6" i="1"/>
  <c r="AH6" i="4"/>
  <c r="BS5" i="1"/>
  <c r="BS5" i="4"/>
  <c r="G5" i="1"/>
  <c r="G5" i="4"/>
  <c r="AR4" i="1"/>
  <c r="AR4" i="4"/>
  <c r="CC3" i="1"/>
  <c r="CC3" i="4"/>
  <c r="Q3" i="1"/>
  <c r="Q3" i="4"/>
  <c r="BB2" i="1"/>
  <c r="BB2" i="4"/>
  <c r="CM1" i="1"/>
  <c r="CM1" i="4"/>
  <c r="I1" i="1"/>
  <c r="I1" i="4"/>
  <c r="R11" i="1"/>
  <c r="R11" i="4"/>
  <c r="CN9" i="1"/>
  <c r="CN9" i="4"/>
  <c r="O1" i="1"/>
  <c r="O1" i="4"/>
  <c r="CP11" i="1"/>
  <c r="CP11" i="4"/>
  <c r="X11" i="1"/>
  <c r="X11" i="4"/>
  <c r="BI10" i="1"/>
  <c r="BI10" i="4"/>
  <c r="CT9" i="1"/>
  <c r="CT9" i="4"/>
  <c r="AH9" i="1"/>
  <c r="AH9" i="4"/>
  <c r="BS8" i="1"/>
  <c r="BS8" i="4"/>
  <c r="G8" i="1"/>
  <c r="G8" i="4"/>
  <c r="V7" i="1"/>
  <c r="V7" i="4"/>
  <c r="CR5" i="1"/>
  <c r="CR5" i="4"/>
  <c r="BQ4" i="1"/>
  <c r="BQ4" i="4"/>
  <c r="CO8" i="1"/>
  <c r="CO8" i="4"/>
  <c r="AC8" i="1"/>
  <c r="AC8" i="4"/>
  <c r="BN7" i="1"/>
  <c r="BN7" i="4"/>
  <c r="AM6" i="1"/>
  <c r="AM6" i="4"/>
  <c r="L5" i="1"/>
  <c r="L5" i="4"/>
  <c r="BD7" i="1"/>
  <c r="BD7" i="4"/>
  <c r="CO6" i="1"/>
  <c r="CO6" i="4"/>
  <c r="AC6" i="1"/>
  <c r="AC6" i="4"/>
  <c r="BN5" i="1"/>
  <c r="BN5" i="4"/>
  <c r="CY4" i="1"/>
  <c r="CY4" i="4"/>
  <c r="AM4" i="1"/>
  <c r="AM4" i="4"/>
  <c r="BX3" i="1"/>
  <c r="BX3" i="4"/>
  <c r="L3" i="1"/>
  <c r="L3" i="4"/>
  <c r="AW2" i="1"/>
  <c r="AW2" i="4"/>
  <c r="CH1" i="1"/>
  <c r="CH1" i="4"/>
  <c r="CL3" i="1"/>
  <c r="CL3" i="4"/>
  <c r="Z3" i="1"/>
  <c r="Z3" i="4"/>
  <c r="BK2" i="1"/>
  <c r="BK2" i="4"/>
  <c r="CV1" i="1"/>
  <c r="CV1" i="4"/>
  <c r="H1" i="4"/>
  <c r="H1" i="1"/>
  <c r="CH12" i="1"/>
  <c r="CH12" i="4"/>
  <c r="V12" i="1"/>
  <c r="V12" i="4"/>
  <c r="BG11" i="1"/>
  <c r="BG11" i="4"/>
  <c r="CR10" i="1"/>
  <c r="CR10" i="4"/>
  <c r="V10" i="1"/>
  <c r="V10" i="4"/>
  <c r="CR8" i="1"/>
  <c r="CR8" i="4"/>
  <c r="BQ7" i="1"/>
  <c r="BQ7" i="4"/>
  <c r="AP6" i="1"/>
  <c r="AP6" i="4"/>
  <c r="CJ11" i="1"/>
  <c r="CJ11" i="4"/>
  <c r="AR12" i="1"/>
  <c r="AR12" i="4"/>
  <c r="CC11" i="4"/>
  <c r="CC11" i="1"/>
  <c r="Q11" i="4"/>
  <c r="Q11" i="1"/>
  <c r="BB10" i="4"/>
  <c r="BB10" i="1"/>
  <c r="AE9" i="1"/>
  <c r="AE9" i="4"/>
  <c r="BM7" i="1"/>
  <c r="BM7" i="4"/>
  <c r="P10" i="1"/>
  <c r="P10" i="4"/>
  <c r="AG9" i="4"/>
  <c r="AG9" i="1"/>
  <c r="AX8" i="4"/>
  <c r="AX8" i="1"/>
  <c r="W7" i="1"/>
  <c r="W7" i="4"/>
  <c r="CS5" i="1"/>
  <c r="CS5" i="4"/>
  <c r="BR4" i="1"/>
  <c r="BR4" i="4"/>
  <c r="AQ3" i="1"/>
  <c r="AQ3" i="4"/>
  <c r="P2" i="1"/>
  <c r="P2" i="4"/>
  <c r="BR11" i="1"/>
  <c r="BR11" i="4"/>
  <c r="AL6" i="1"/>
  <c r="AL6" i="4"/>
  <c r="K5" i="1"/>
  <c r="K5" i="4"/>
  <c r="CG3" i="1"/>
  <c r="CG3" i="4"/>
  <c r="BF2" i="1"/>
  <c r="BF2" i="4"/>
  <c r="Q1" i="1"/>
  <c r="Q1" i="4"/>
  <c r="CV9" i="1"/>
  <c r="CV9" i="4"/>
  <c r="BM10" i="1"/>
  <c r="BM10" i="4"/>
  <c r="K8" i="1"/>
  <c r="K8" i="4"/>
  <c r="CS8" i="4"/>
  <c r="CS8" i="1"/>
  <c r="T5" i="1"/>
  <c r="T5" i="4"/>
  <c r="BR5" i="1"/>
  <c r="BR5" i="4"/>
  <c r="P3" i="1"/>
  <c r="P3" i="4"/>
  <c r="AD3" i="1"/>
  <c r="AD3" i="4"/>
  <c r="F1" i="4"/>
  <c r="F1" i="1"/>
  <c r="O12" i="4"/>
  <c r="O12" i="1"/>
  <c r="BF12" i="4"/>
  <c r="BF12" i="1"/>
  <c r="CQ11" i="4"/>
  <c r="CQ11" i="1"/>
  <c r="AE11" i="4"/>
  <c r="AE11" i="1"/>
  <c r="BP10" i="4"/>
  <c r="BP10" i="1"/>
  <c r="BO9" i="4"/>
  <c r="BO9" i="1"/>
  <c r="AN8" i="4"/>
  <c r="AN8" i="1"/>
  <c r="M7" i="4"/>
  <c r="M7" i="1"/>
  <c r="BC12" i="4"/>
  <c r="BC12" i="1"/>
  <c r="CB12" i="4"/>
  <c r="CB12" i="1"/>
  <c r="P12" i="1"/>
  <c r="P12" i="4"/>
  <c r="BA11" i="1"/>
  <c r="BA11" i="4"/>
  <c r="CL10" i="1"/>
  <c r="CL10" i="4"/>
  <c r="J10" i="1"/>
  <c r="J10" i="4"/>
  <c r="BH8" i="4"/>
  <c r="BH8" i="1"/>
  <c r="CH6" i="4"/>
  <c r="CH6" i="1"/>
  <c r="CC9" i="1"/>
  <c r="CC9" i="4"/>
  <c r="CT8" i="4"/>
  <c r="CT8" i="1"/>
  <c r="CM7" i="1"/>
  <c r="CM7" i="4"/>
  <c r="BL6" i="1"/>
  <c r="BL6" i="4"/>
  <c r="AK5" i="1"/>
  <c r="AK5" i="4"/>
  <c r="J4" i="1"/>
  <c r="J4" i="4"/>
  <c r="CF2" i="1"/>
  <c r="CF2" i="4"/>
  <c r="BE1" i="4"/>
  <c r="BE1" i="1"/>
  <c r="AY10" i="1"/>
  <c r="AY10" i="4"/>
  <c r="CA5" i="1"/>
  <c r="CA5" i="4"/>
  <c r="AZ4" i="4"/>
  <c r="AZ4" i="1"/>
  <c r="Y3" i="1"/>
  <c r="Y3" i="4"/>
  <c r="CU1" i="1"/>
  <c r="CU1" i="4"/>
  <c r="AH11" i="1"/>
  <c r="AH11" i="4"/>
  <c r="AI12" i="1"/>
  <c r="AI12" i="4"/>
  <c r="BB9" i="4"/>
  <c r="BB9" i="1"/>
  <c r="AI6" i="4"/>
  <c r="AI6" i="1"/>
  <c r="CH7" i="1"/>
  <c r="CH7" i="4"/>
  <c r="L7" i="1"/>
  <c r="L7" i="4"/>
  <c r="BG4" i="1"/>
  <c r="BG4" i="4"/>
  <c r="E2" i="1"/>
  <c r="E2" i="4"/>
  <c r="S2" i="1"/>
  <c r="S2" i="4"/>
  <c r="AR9" i="1"/>
  <c r="AR9" i="4"/>
  <c r="CA12" i="1"/>
  <c r="CA12" i="4"/>
  <c r="BL11" i="1"/>
  <c r="BL11" i="4"/>
  <c r="CW10" i="1"/>
  <c r="CW10" i="4"/>
  <c r="AK10" i="1"/>
  <c r="AK10" i="4"/>
  <c r="BV9" i="1"/>
  <c r="BV9" i="4"/>
  <c r="J9" i="1"/>
  <c r="J9" i="4"/>
  <c r="AU8" i="1"/>
  <c r="AU8" i="4"/>
  <c r="CF7" i="1"/>
  <c r="CF7" i="4"/>
  <c r="BW6" i="1"/>
  <c r="BW6" i="4"/>
  <c r="AV5" i="1"/>
  <c r="AV5" i="4"/>
  <c r="U4" i="1"/>
  <c r="U4" i="4"/>
  <c r="BQ8" i="1"/>
  <c r="BQ8" i="4"/>
  <c r="E8" i="4"/>
  <c r="R7" i="1"/>
  <c r="R7" i="4"/>
  <c r="CN5" i="1"/>
  <c r="CN5" i="4"/>
  <c r="BM4" i="1"/>
  <c r="BM4" i="4"/>
  <c r="AF7" i="1"/>
  <c r="AF7" i="4"/>
  <c r="BQ6" i="1"/>
  <c r="BQ6" i="4"/>
  <c r="E6" i="1"/>
  <c r="E6" i="4"/>
  <c r="AP5" i="1"/>
  <c r="AP5" i="4"/>
  <c r="CA4" i="1"/>
  <c r="CA4" i="4"/>
  <c r="O4" i="1"/>
  <c r="O4" i="4"/>
  <c r="AZ3" i="1"/>
  <c r="AZ3" i="4"/>
  <c r="CK2" i="4"/>
  <c r="CK2" i="1"/>
  <c r="Y2" i="4"/>
  <c r="Y2" i="1"/>
  <c r="BH1" i="4"/>
  <c r="BH1" i="1"/>
  <c r="BN3" i="4"/>
  <c r="BN3" i="1"/>
  <c r="CY2" i="4"/>
  <c r="CY2" i="1"/>
  <c r="AM2" i="4"/>
  <c r="AM2" i="1"/>
  <c r="BX1" i="4"/>
  <c r="BX1" i="1"/>
  <c r="AP1" i="1"/>
  <c r="AP1" i="4"/>
  <c r="Z8" i="1"/>
  <c r="Z8" i="4"/>
  <c r="BK7" i="1"/>
  <c r="BK7" i="4"/>
  <c r="CV6" i="1"/>
  <c r="CV6" i="4"/>
  <c r="AJ6" i="1"/>
  <c r="AJ6" i="4"/>
  <c r="BU5" i="4"/>
  <c r="BU5" i="1"/>
  <c r="I5" i="4"/>
  <c r="I5" i="1"/>
  <c r="AT4" i="4"/>
  <c r="AT4" i="1"/>
  <c r="CE3" i="4"/>
  <c r="CE3" i="1"/>
  <c r="S3" i="4"/>
  <c r="S3" i="1"/>
  <c r="BD2" i="4"/>
  <c r="BD2" i="1"/>
  <c r="CO1" i="4"/>
  <c r="CO1" i="1"/>
  <c r="M1" i="4"/>
  <c r="M1" i="1"/>
  <c r="V11" i="4"/>
  <c r="V11" i="1"/>
  <c r="CR9" i="4"/>
  <c r="CR9" i="1"/>
  <c r="N6" i="1"/>
  <c r="N6" i="4"/>
  <c r="AY5" i="1"/>
  <c r="AY5" i="4"/>
  <c r="CJ4" i="4"/>
  <c r="CJ4" i="1"/>
  <c r="X4" i="4"/>
  <c r="X4" i="1"/>
  <c r="BI3" i="4"/>
  <c r="BI3" i="1"/>
  <c r="CT2" i="4"/>
  <c r="CT2" i="1"/>
  <c r="AH2" i="4"/>
  <c r="AH2" i="1"/>
  <c r="BS1" i="4"/>
  <c r="BS1" i="1"/>
  <c r="AE12" i="1"/>
  <c r="AE12" i="4"/>
  <c r="CA10" i="1"/>
  <c r="CA10" i="4"/>
  <c r="AZ9" i="1"/>
  <c r="AZ9" i="4"/>
  <c r="CI12" i="1"/>
  <c r="CI12" i="4"/>
  <c r="BP11" i="1"/>
  <c r="BP11" i="4"/>
  <c r="DA10" i="4"/>
  <c r="DA10" i="1"/>
  <c r="AO10" i="1"/>
  <c r="AO10" i="4"/>
  <c r="BZ9" i="1"/>
  <c r="BZ9" i="4"/>
  <c r="N9" i="1"/>
  <c r="N9" i="4"/>
  <c r="AY8" i="1"/>
  <c r="AY8" i="4"/>
  <c r="CJ7" i="1"/>
  <c r="CJ7" i="4"/>
  <c r="CE6" i="1"/>
  <c r="CE6" i="4"/>
  <c r="BD5" i="1"/>
  <c r="BD5" i="4"/>
  <c r="AC4" i="1"/>
  <c r="AC4" i="4"/>
  <c r="BU8" i="1"/>
  <c r="BU8" i="4"/>
  <c r="I8" i="1"/>
  <c r="I8" i="4"/>
  <c r="Z7" i="1"/>
  <c r="Z7" i="4"/>
  <c r="CV5" i="1"/>
  <c r="CV5" i="4"/>
  <c r="BU4" i="4"/>
  <c r="BU4" i="1"/>
  <c r="AJ7" i="4"/>
  <c r="AJ7" i="1"/>
  <c r="BU6" i="1"/>
  <c r="BU6" i="4"/>
  <c r="I6" i="1"/>
  <c r="I6" i="4"/>
  <c r="AT5" i="1"/>
  <c r="AT5" i="4"/>
  <c r="CE4" i="1"/>
  <c r="CE4" i="4"/>
  <c r="S4" i="1"/>
  <c r="S4" i="4"/>
  <c r="BD3" i="1"/>
  <c r="BD3" i="4"/>
  <c r="CO2" i="1"/>
  <c r="CO2" i="4"/>
  <c r="AC2" i="1"/>
  <c r="AC2" i="4"/>
  <c r="BN1" i="1"/>
  <c r="BN1" i="4"/>
  <c r="BR3" i="1"/>
  <c r="BR3" i="4"/>
  <c r="F3" i="1"/>
  <c r="F3" i="4"/>
  <c r="AQ2" i="1"/>
  <c r="AQ2" i="4"/>
  <c r="CB1" i="1"/>
  <c r="CB1" i="4"/>
  <c r="AT1" i="1"/>
  <c r="AT1" i="4"/>
  <c r="O9" i="4"/>
  <c r="O9" i="1"/>
  <c r="CK7" i="1"/>
  <c r="CK7" i="4"/>
  <c r="BJ6" i="1"/>
  <c r="BJ6" i="4"/>
  <c r="CK9" i="1"/>
  <c r="CK9" i="4"/>
  <c r="Y9" i="1"/>
  <c r="Y9" i="4"/>
  <c r="BJ8" i="1"/>
  <c r="BJ8" i="4"/>
  <c r="CU7" i="1"/>
  <c r="CU7" i="4"/>
  <c r="AI7" i="1"/>
  <c r="AI7" i="4"/>
  <c r="BT6" i="1"/>
  <c r="BT6" i="4"/>
  <c r="H6" i="1"/>
  <c r="H6" i="4"/>
  <c r="AS5" i="1"/>
  <c r="AS5" i="4"/>
  <c r="CD4" i="1"/>
  <c r="CD4" i="4"/>
  <c r="R4" i="1"/>
  <c r="R4" i="4"/>
  <c r="BC3" i="1"/>
  <c r="BC3" i="4"/>
  <c r="CN2" i="1"/>
  <c r="CN2" i="4"/>
  <c r="AB2" i="1"/>
  <c r="AB2" i="4"/>
  <c r="BM1" i="1"/>
  <c r="BM1" i="4"/>
  <c r="E12" i="4"/>
  <c r="BO10" i="1"/>
  <c r="BO10" i="4"/>
  <c r="AN9" i="1"/>
  <c r="AN9" i="4"/>
  <c r="CI5" i="4"/>
  <c r="CI5" i="1"/>
  <c r="W5" i="1"/>
  <c r="W5" i="4"/>
  <c r="BH4" i="1"/>
  <c r="BH4" i="4"/>
  <c r="CS3" i="1"/>
  <c r="CS3" i="4"/>
  <c r="AG3" i="1"/>
  <c r="AG3" i="4"/>
  <c r="BR2" i="1"/>
  <c r="BR2" i="4"/>
  <c r="F2" i="1"/>
  <c r="F2" i="4"/>
  <c r="AO1" i="1"/>
  <c r="AO1" i="4"/>
  <c r="AX11" i="1"/>
  <c r="AX11" i="4"/>
  <c r="W10" i="1"/>
  <c r="W10" i="4"/>
  <c r="AE1" i="4"/>
  <c r="AE1" i="1"/>
  <c r="AA12" i="4"/>
  <c r="AA12" i="1"/>
  <c r="AN11" i="4"/>
  <c r="AN11" i="1"/>
  <c r="BY10" i="4"/>
  <c r="BY10" i="1"/>
  <c r="M10" i="4"/>
  <c r="M10" i="1"/>
  <c r="AX9" i="4"/>
  <c r="AX9" i="1"/>
  <c r="CI8" i="4"/>
  <c r="CI8" i="1"/>
  <c r="W8" i="4"/>
  <c r="W8" i="1"/>
  <c r="BB7" i="1"/>
  <c r="BB7" i="4"/>
  <c r="AA6" i="1"/>
  <c r="AA6" i="4"/>
  <c r="CW4" i="1"/>
  <c r="CW4" i="4"/>
  <c r="H9" i="4"/>
  <c r="H9" i="1"/>
  <c r="AS8" i="4"/>
  <c r="AS8" i="1"/>
  <c r="CD7" i="4"/>
  <c r="CD7" i="1"/>
  <c r="BS6" i="4"/>
  <c r="BS6" i="1"/>
  <c r="AR5" i="4"/>
  <c r="AR5" i="1"/>
  <c r="Q4" i="4"/>
  <c r="Q4" i="1"/>
  <c r="H7" i="1"/>
  <c r="H7" i="4"/>
  <c r="AS6" i="1"/>
  <c r="AS6" i="4"/>
  <c r="CD5" i="1"/>
  <c r="CD5" i="4"/>
  <c r="R5" i="1"/>
  <c r="R5" i="4"/>
  <c r="BC4" i="1"/>
  <c r="BC4" i="4"/>
  <c r="CN3" i="1"/>
  <c r="CN3" i="4"/>
  <c r="AB3" i="1"/>
  <c r="AB3" i="4"/>
  <c r="BM2" i="1"/>
  <c r="BM2" i="4"/>
  <c r="CX1" i="1"/>
  <c r="CX1" i="4"/>
  <c r="L1" i="1"/>
  <c r="L1" i="4"/>
  <c r="AP3" i="1"/>
  <c r="AP3" i="4"/>
  <c r="CA2" i="1"/>
  <c r="CA2" i="4"/>
  <c r="O2" i="1"/>
  <c r="O2" i="4"/>
  <c r="AN1" i="1"/>
  <c r="AN1" i="4"/>
  <c r="R1" i="1"/>
  <c r="R1" i="4"/>
  <c r="R51" i="1" l="1"/>
  <c r="R52" i="1"/>
  <c r="CN46" i="1"/>
  <c r="CN45" i="1"/>
  <c r="BN44" i="1"/>
  <c r="BN43" i="1"/>
  <c r="BD52" i="1"/>
  <c r="BD51" i="1"/>
  <c r="J59" i="1"/>
  <c r="J60" i="1"/>
  <c r="AY61" i="1"/>
  <c r="AY62" i="1"/>
  <c r="CG47" i="1"/>
  <c r="CG48" i="1"/>
  <c r="BQ55" i="1"/>
  <c r="BQ56" i="1"/>
  <c r="CO53" i="1"/>
  <c r="CO54" i="1"/>
  <c r="CC48" i="1"/>
  <c r="CC47" i="1"/>
  <c r="AD43" i="1"/>
  <c r="AD44" i="1"/>
  <c r="T59" i="1"/>
  <c r="T60" i="1"/>
  <c r="AI51" i="1"/>
  <c r="AI52" i="1"/>
  <c r="CG61" i="1"/>
  <c r="CG62" i="1"/>
  <c r="AU52" i="1"/>
  <c r="AU51" i="1"/>
  <c r="BL65" i="1"/>
  <c r="BL66" i="1"/>
  <c r="AP66" i="1"/>
  <c r="AP65" i="1"/>
  <c r="BA45" i="1"/>
  <c r="BA46" i="1"/>
  <c r="F63" i="1"/>
  <c r="F64" i="1"/>
  <c r="BY66" i="1"/>
  <c r="BY65" i="1"/>
  <c r="CB62" i="1"/>
  <c r="CB61" i="1"/>
  <c r="AX43" i="1"/>
  <c r="AX44" i="1"/>
  <c r="BV47" i="1"/>
  <c r="BV48" i="1"/>
  <c r="BH48" i="1"/>
  <c r="BH47" i="1"/>
  <c r="M54" i="1"/>
  <c r="M53" i="1"/>
  <c r="AK49" i="1"/>
  <c r="AK50" i="1"/>
  <c r="CI61" i="1"/>
  <c r="CI62" i="1"/>
  <c r="CX45" i="1"/>
  <c r="CX46" i="1"/>
  <c r="U43" i="1"/>
  <c r="U44" i="1"/>
  <c r="CI48" i="1"/>
  <c r="CI47" i="1"/>
  <c r="AN54" i="1"/>
  <c r="AN53" i="1"/>
  <c r="CP57" i="1"/>
  <c r="CP58" i="1"/>
  <c r="BW45" i="1"/>
  <c r="BW46" i="1"/>
  <c r="BI45" i="1"/>
  <c r="BI46" i="1"/>
  <c r="N52" i="1"/>
  <c r="N51" i="1"/>
  <c r="AO58" i="1"/>
  <c r="AO57" i="1"/>
  <c r="AA43" i="1"/>
  <c r="AA44" i="1"/>
  <c r="CQ56" i="1"/>
  <c r="CQ55" i="1"/>
  <c r="J51" i="1"/>
  <c r="J52" i="1"/>
  <c r="BL56" i="1"/>
  <c r="BL55" i="1"/>
  <c r="AK57" i="1"/>
  <c r="AK58" i="1"/>
  <c r="AL56" i="1"/>
  <c r="AL55" i="1"/>
  <c r="E62" i="1"/>
  <c r="E61" i="1"/>
  <c r="W44" i="1"/>
  <c r="W43" i="1"/>
  <c r="CH52" i="1"/>
  <c r="CH51" i="1"/>
  <c r="CK48" i="1"/>
  <c r="CK47" i="1"/>
  <c r="T46" i="1"/>
  <c r="T45" i="1"/>
  <c r="AA55" i="1"/>
  <c r="AA56" i="1"/>
  <c r="CG63" i="1"/>
  <c r="CG64" i="1"/>
  <c r="CZ43" i="1"/>
  <c r="CZ44" i="1"/>
  <c r="Z63" i="1"/>
  <c r="Z64" i="1"/>
  <c r="BW51" i="1"/>
  <c r="BW52" i="1"/>
  <c r="F49" i="1"/>
  <c r="F50" i="1"/>
  <c r="CL58" i="1"/>
  <c r="CL57" i="1"/>
  <c r="CY59" i="1"/>
  <c r="CY60" i="1"/>
  <c r="BX66" i="1"/>
  <c r="BX65" i="1"/>
  <c r="BG60" i="1"/>
  <c r="BG59" i="1"/>
  <c r="BB65" i="1"/>
  <c r="BB66" i="1"/>
  <c r="BL47" i="1"/>
  <c r="BL48" i="1"/>
  <c r="AM65" i="1"/>
  <c r="AM66" i="1"/>
  <c r="AF62" i="1"/>
  <c r="AF61" i="1"/>
  <c r="AC63" i="1"/>
  <c r="AC64" i="1"/>
  <c r="BP44" i="1"/>
  <c r="BP43" i="1"/>
  <c r="AR44" i="1"/>
  <c r="AR43" i="1"/>
  <c r="G50" i="1"/>
  <c r="G49" i="1"/>
  <c r="BI54" i="1"/>
  <c r="BI53" i="1"/>
  <c r="CY53" i="1"/>
  <c r="CY54" i="1"/>
  <c r="AF51" i="1"/>
  <c r="AF52" i="1"/>
  <c r="CY57" i="1"/>
  <c r="CY58" i="1"/>
  <c r="BD64" i="1"/>
  <c r="BD63" i="1"/>
  <c r="CF63" i="1"/>
  <c r="CF64" i="1"/>
  <c r="AW48" i="1"/>
  <c r="AW47" i="1"/>
  <c r="CY52" i="1"/>
  <c r="CY51" i="1"/>
  <c r="CC44" i="1"/>
  <c r="CC43" i="1"/>
  <c r="AH49" i="1"/>
  <c r="AH50" i="1"/>
  <c r="CJ54" i="1"/>
  <c r="CJ53" i="1"/>
  <c r="AO59" i="1"/>
  <c r="AO60" i="1"/>
  <c r="AU60" i="1"/>
  <c r="AU59" i="1"/>
  <c r="CK57" i="1"/>
  <c r="CK58" i="1"/>
  <c r="CZ56" i="1"/>
  <c r="CZ55" i="1"/>
  <c r="BE61" i="1"/>
  <c r="BE62" i="1"/>
  <c r="CF59" i="1"/>
  <c r="CF60" i="1"/>
  <c r="AX46" i="1"/>
  <c r="AX45" i="1"/>
  <c r="CZ50" i="1"/>
  <c r="CZ49" i="1"/>
  <c r="BB63" i="1"/>
  <c r="BB64" i="1"/>
  <c r="AI47" i="1"/>
  <c r="AI48" i="1"/>
  <c r="CK51" i="1"/>
  <c r="CK52" i="1"/>
  <c r="AP57" i="1"/>
  <c r="AP58" i="1"/>
  <c r="R47" i="1"/>
  <c r="R48" i="1"/>
  <c r="CS50" i="1"/>
  <c r="CS49" i="1"/>
  <c r="CG57" i="1"/>
  <c r="CG58" i="1"/>
  <c r="CV55" i="1"/>
  <c r="CV56" i="1"/>
  <c r="BA61" i="1"/>
  <c r="BA62" i="1"/>
  <c r="Y50" i="1"/>
  <c r="Y49" i="1"/>
  <c r="O48" i="1"/>
  <c r="O47" i="1"/>
  <c r="V57" i="1"/>
  <c r="V58" i="1"/>
  <c r="AR51" i="1"/>
  <c r="AR52" i="1"/>
  <c r="H60" i="1"/>
  <c r="H59" i="1"/>
  <c r="W58" i="1"/>
  <c r="W57" i="1"/>
  <c r="BY61" i="1"/>
  <c r="BY62" i="1"/>
  <c r="AJ55" i="1"/>
  <c r="AJ56" i="1"/>
  <c r="BS44" i="1"/>
  <c r="BS43" i="1"/>
  <c r="X50" i="1"/>
  <c r="X49" i="1"/>
  <c r="CR60" i="1"/>
  <c r="CR59" i="1"/>
  <c r="BD45" i="1"/>
  <c r="BD46" i="1"/>
  <c r="I51" i="1"/>
  <c r="I52" i="1"/>
  <c r="AM46" i="1"/>
  <c r="AM45" i="1"/>
  <c r="Y46" i="1"/>
  <c r="Y45" i="1"/>
  <c r="BB59" i="1"/>
  <c r="BB60" i="1"/>
  <c r="BE44" i="1"/>
  <c r="BE43" i="1"/>
  <c r="CH54" i="1"/>
  <c r="CH53" i="1"/>
  <c r="M56" i="1"/>
  <c r="M55" i="1"/>
  <c r="AE63" i="1"/>
  <c r="AE64" i="1"/>
  <c r="F43" i="1"/>
  <c r="F44" i="1"/>
  <c r="AX58" i="1"/>
  <c r="AX57" i="1"/>
  <c r="AI61" i="1"/>
  <c r="AI62" i="1"/>
  <c r="BL43" i="1"/>
  <c r="BL44" i="1"/>
  <c r="CZ47" i="1"/>
  <c r="CZ48" i="1"/>
  <c r="BE53" i="1"/>
  <c r="BE54" i="1"/>
  <c r="CQ53" i="1"/>
  <c r="CQ54" i="1"/>
  <c r="CF53" i="1"/>
  <c r="CF54" i="1"/>
  <c r="CV47" i="1"/>
  <c r="CV48" i="1"/>
  <c r="BA53" i="1"/>
  <c r="BA54" i="1"/>
  <c r="P52" i="1"/>
  <c r="P51" i="1"/>
  <c r="H51" i="1"/>
  <c r="H52" i="1"/>
  <c r="BI59" i="1"/>
  <c r="BI60" i="1"/>
  <c r="BV62" i="1"/>
  <c r="BV61" i="1"/>
  <c r="Q56" i="1"/>
  <c r="Q55" i="1"/>
  <c r="BM64" i="1"/>
  <c r="BM63" i="1"/>
  <c r="AH55" i="1"/>
  <c r="AH56" i="1"/>
  <c r="R59" i="1"/>
  <c r="R60" i="1"/>
  <c r="BT64" i="1"/>
  <c r="BT63" i="1"/>
  <c r="R53" i="1"/>
  <c r="R54" i="1"/>
  <c r="DA57" i="1"/>
  <c r="DA58" i="1"/>
  <c r="BN45" i="1"/>
  <c r="BN46" i="1"/>
  <c r="S51" i="1"/>
  <c r="S52" i="1"/>
  <c r="CL64" i="1"/>
  <c r="CL63" i="1"/>
  <c r="AY47" i="1"/>
  <c r="AY48" i="1"/>
  <c r="DA51" i="1"/>
  <c r="DA52" i="1"/>
  <c r="AH47" i="1"/>
  <c r="AH48" i="1"/>
  <c r="O52" i="1"/>
  <c r="O51" i="1"/>
  <c r="CZ58" i="1"/>
  <c r="CZ57" i="1"/>
  <c r="Z66" i="1"/>
  <c r="Z65" i="1"/>
  <c r="BY60" i="1"/>
  <c r="BY59" i="1"/>
  <c r="DA48" i="1"/>
  <c r="DA47" i="1"/>
  <c r="AJ46" i="1"/>
  <c r="AJ45" i="1"/>
  <c r="AQ55" i="1"/>
  <c r="AQ56" i="1"/>
  <c r="CS55" i="1"/>
  <c r="CS56" i="1"/>
  <c r="BT60" i="1"/>
  <c r="BT59" i="1"/>
  <c r="DA60" i="1"/>
  <c r="DA59" i="1"/>
  <c r="CH47" i="1"/>
  <c r="CH48" i="1"/>
  <c r="BT47" i="1"/>
  <c r="BT48" i="1"/>
  <c r="Y54" i="1"/>
  <c r="Y53" i="1"/>
  <c r="AE53" i="1"/>
  <c r="AE54" i="1"/>
  <c r="AZ53" i="1"/>
  <c r="AZ54" i="1"/>
  <c r="BP48" i="1"/>
  <c r="BP47" i="1"/>
  <c r="U54" i="1"/>
  <c r="U53" i="1"/>
  <c r="BA49" i="1"/>
  <c r="BA50" i="1"/>
  <c r="AP62" i="1"/>
  <c r="AP61" i="1"/>
  <c r="AN62" i="1"/>
  <c r="AN61" i="1"/>
  <c r="AG64" i="1"/>
  <c r="AG63" i="1"/>
  <c r="CS65" i="1"/>
  <c r="CS66" i="1"/>
  <c r="BP59" i="1"/>
  <c r="BP60" i="1"/>
  <c r="AE48" i="1"/>
  <c r="AE47" i="1"/>
  <c r="AL57" i="1"/>
  <c r="AL58" i="1"/>
  <c r="W60" i="1"/>
  <c r="W59" i="1"/>
  <c r="CU53" i="1"/>
  <c r="CU54" i="1"/>
  <c r="N45" i="1"/>
  <c r="N46" i="1"/>
  <c r="BA51" i="1"/>
  <c r="BA52" i="1"/>
  <c r="CT62" i="1"/>
  <c r="CT61" i="1"/>
  <c r="BQ66" i="1"/>
  <c r="BQ65" i="1"/>
  <c r="AM63" i="1"/>
  <c r="AM64" i="1"/>
  <c r="J55" i="1"/>
  <c r="J56" i="1"/>
  <c r="CN63" i="1"/>
  <c r="CN64" i="1"/>
  <c r="CJ43" i="1"/>
  <c r="CJ44" i="1"/>
  <c r="AP55" i="1"/>
  <c r="AP56" i="1"/>
  <c r="BK52" i="1"/>
  <c r="BK51" i="1"/>
  <c r="CH58" i="1"/>
  <c r="CH57" i="1"/>
  <c r="CQ59" i="1"/>
  <c r="CQ60" i="1"/>
  <c r="BT65" i="1"/>
  <c r="BT66" i="1"/>
  <c r="AY59" i="1"/>
  <c r="AY60" i="1"/>
  <c r="AX66" i="1"/>
  <c r="AX65" i="1"/>
  <c r="AV47" i="1"/>
  <c r="AV48" i="1"/>
  <c r="AQ57" i="1"/>
  <c r="AQ58" i="1"/>
  <c r="BV46" i="1"/>
  <c r="BV45" i="1"/>
  <c r="W65" i="1"/>
  <c r="W66" i="1"/>
  <c r="S59" i="1"/>
  <c r="S60" i="1"/>
  <c r="AH66" i="1"/>
  <c r="AH65" i="1"/>
  <c r="CG45" i="1"/>
  <c r="CG46" i="1"/>
  <c r="CB56" i="1"/>
  <c r="CB55" i="1"/>
  <c r="AP45" i="1"/>
  <c r="AP46" i="1"/>
  <c r="AL63" i="1"/>
  <c r="AL64" i="1"/>
  <c r="CC51" i="1"/>
  <c r="CC52" i="1"/>
  <c r="CO66" i="1"/>
  <c r="CO65" i="1"/>
  <c r="CJ62" i="1"/>
  <c r="CJ61" i="1"/>
  <c r="AY66" i="1"/>
  <c r="AY65" i="1"/>
  <c r="Q51" i="1"/>
  <c r="Q52" i="1"/>
  <c r="DA64" i="1"/>
  <c r="DA63" i="1"/>
  <c r="CH50" i="1"/>
  <c r="CH49" i="1"/>
  <c r="N61" i="1"/>
  <c r="N62" i="1"/>
  <c r="CD66" i="1"/>
  <c r="CD65" i="1"/>
  <c r="BW49" i="1"/>
  <c r="BW50" i="1"/>
  <c r="BR60" i="1"/>
  <c r="BR59" i="1"/>
  <c r="AK47" i="1"/>
  <c r="AK48" i="1"/>
  <c r="BQ43" i="1"/>
  <c r="BQ44" i="1"/>
  <c r="BX53" i="1"/>
  <c r="BX54" i="1"/>
  <c r="CX54" i="1"/>
  <c r="CX53" i="1"/>
  <c r="BE64" i="1"/>
  <c r="BE63" i="1"/>
  <c r="BD58" i="1"/>
  <c r="BD57" i="1"/>
  <c r="BM53" i="1"/>
  <c r="BM54" i="1"/>
  <c r="AF50" i="1"/>
  <c r="AF49" i="1"/>
  <c r="P57" i="1"/>
  <c r="P58" i="1"/>
  <c r="BJ61" i="1"/>
  <c r="BJ62" i="1"/>
  <c r="R44" i="1"/>
  <c r="R43" i="1"/>
  <c r="AP48" i="1"/>
  <c r="AP47" i="1"/>
  <c r="AB48" i="1"/>
  <c r="AB47" i="1"/>
  <c r="CD52" i="1"/>
  <c r="CD51" i="1"/>
  <c r="W61" i="1"/>
  <c r="W62" i="1"/>
  <c r="BR46" i="1"/>
  <c r="BR45" i="1"/>
  <c r="W52" i="1"/>
  <c r="W51" i="1"/>
  <c r="E66" i="1"/>
  <c r="E65" i="1"/>
  <c r="BC48" i="1"/>
  <c r="BC47" i="1"/>
  <c r="H54" i="1"/>
  <c r="H53" i="1"/>
  <c r="BJ57" i="1"/>
  <c r="BJ58" i="1"/>
  <c r="CK56" i="1"/>
  <c r="CK55" i="1"/>
  <c r="AQ45" i="1"/>
  <c r="AQ46" i="1"/>
  <c r="AC45" i="1"/>
  <c r="AC46" i="1"/>
  <c r="CE50" i="1"/>
  <c r="CE49" i="1"/>
  <c r="I58" i="1"/>
  <c r="I57" i="1"/>
  <c r="CE53" i="1"/>
  <c r="CE54" i="1"/>
  <c r="BZ60" i="1"/>
  <c r="BZ59" i="1"/>
  <c r="CI65" i="1"/>
  <c r="CI66" i="1"/>
  <c r="BK56" i="1"/>
  <c r="BK55" i="1"/>
  <c r="CA49" i="1"/>
  <c r="CA50" i="1"/>
  <c r="AF55" i="1"/>
  <c r="AF56" i="1"/>
  <c r="E58" i="1"/>
  <c r="E57" i="1"/>
  <c r="BW53" i="1"/>
  <c r="BW54" i="1"/>
  <c r="BV59" i="1"/>
  <c r="BV60" i="1"/>
  <c r="CA65" i="1"/>
  <c r="CA66" i="1"/>
  <c r="BG49" i="1"/>
  <c r="BG50" i="1"/>
  <c r="Y48" i="1"/>
  <c r="Y47" i="1"/>
  <c r="BL54" i="1"/>
  <c r="BL53" i="1"/>
  <c r="BA63" i="1"/>
  <c r="BA64" i="1"/>
  <c r="T51" i="1"/>
  <c r="T52" i="1"/>
  <c r="CV59" i="1"/>
  <c r="CV60" i="1"/>
  <c r="K52" i="1"/>
  <c r="K51" i="1"/>
  <c r="AQ47" i="1"/>
  <c r="AQ48" i="1"/>
  <c r="AE59" i="1"/>
  <c r="AE60" i="1"/>
  <c r="AR66" i="1"/>
  <c r="AR65" i="1"/>
  <c r="CR58" i="1"/>
  <c r="CR57" i="1"/>
  <c r="V65" i="1"/>
  <c r="V66" i="1"/>
  <c r="BK46" i="1"/>
  <c r="BK45" i="1"/>
  <c r="AW46" i="1"/>
  <c r="AW45" i="1"/>
  <c r="CY49" i="1"/>
  <c r="CY50" i="1"/>
  <c r="BD55" i="1"/>
  <c r="BD56" i="1"/>
  <c r="AC58" i="1"/>
  <c r="AC57" i="1"/>
  <c r="V56" i="1"/>
  <c r="V55" i="1"/>
  <c r="CT59" i="1"/>
  <c r="CT60" i="1"/>
  <c r="O44" i="1"/>
  <c r="O43" i="1"/>
  <c r="CM43" i="1"/>
  <c r="CM44" i="1"/>
  <c r="AR49" i="1"/>
  <c r="AR50" i="1"/>
  <c r="BX46" i="1"/>
  <c r="BX45" i="1"/>
  <c r="AC51" i="1"/>
  <c r="AC52" i="1"/>
  <c r="CE56" i="1"/>
  <c r="CE55" i="1"/>
  <c r="AJ61" i="1"/>
  <c r="AJ62" i="1"/>
  <c r="AJ44" i="1"/>
  <c r="AJ43" i="1"/>
  <c r="X52" i="1"/>
  <c r="X51" i="1"/>
  <c r="CU57" i="1"/>
  <c r="CU58" i="1"/>
  <c r="AZ63" i="1"/>
  <c r="AZ64" i="1"/>
  <c r="BV64" i="1"/>
  <c r="BV63" i="1"/>
  <c r="AS47" i="1"/>
  <c r="AS48" i="1"/>
  <c r="CU51" i="1"/>
  <c r="CU52" i="1"/>
  <c r="BY43" i="1"/>
  <c r="BY44" i="1"/>
  <c r="AD50" i="1"/>
  <c r="AD49" i="1"/>
  <c r="BD43" i="1"/>
  <c r="BD44" i="1"/>
  <c r="AB44" i="1"/>
  <c r="AB43" i="1"/>
  <c r="CI53" i="1"/>
  <c r="CI54" i="1"/>
  <c r="CQ57" i="1"/>
  <c r="CQ58" i="1"/>
  <c r="AV64" i="1"/>
  <c r="AV63" i="1"/>
  <c r="T44" i="1"/>
  <c r="T43" i="1"/>
  <c r="BO43" i="1"/>
  <c r="BO44" i="1"/>
  <c r="CJ60" i="1"/>
  <c r="CJ59" i="1"/>
  <c r="E52" i="1"/>
  <c r="E51" i="1"/>
  <c r="Y65" i="1"/>
  <c r="Y66" i="1"/>
  <c r="AZ61" i="1"/>
  <c r="AZ62" i="1"/>
  <c r="BZ63" i="1"/>
  <c r="BZ64" i="1"/>
  <c r="F52" i="1"/>
  <c r="F51" i="1"/>
  <c r="CX59" i="1"/>
  <c r="CX60" i="1"/>
  <c r="BA47" i="1"/>
  <c r="BA48" i="1"/>
  <c r="CG43" i="1"/>
  <c r="CG44" i="1"/>
  <c r="CN53" i="1"/>
  <c r="CN54" i="1"/>
  <c r="AK55" i="1"/>
  <c r="AK56" i="1"/>
  <c r="AQ64" i="1"/>
  <c r="AQ63" i="1"/>
  <c r="CF44" i="1"/>
  <c r="CF43" i="1"/>
  <c r="BR44" i="1"/>
  <c r="BR43" i="1"/>
  <c r="W49" i="1"/>
  <c r="W50" i="1"/>
  <c r="BY54" i="1"/>
  <c r="BY53" i="1"/>
  <c r="BL52" i="1"/>
  <c r="BL51" i="1"/>
  <c r="AW65" i="1"/>
  <c r="AW66" i="1"/>
  <c r="BM48" i="1"/>
  <c r="BM47" i="1"/>
  <c r="CS44" i="1"/>
  <c r="CS43" i="1"/>
  <c r="AX49" i="1"/>
  <c r="AX50" i="1"/>
  <c r="CZ53" i="1"/>
  <c r="CZ54" i="1"/>
  <c r="BE59" i="1"/>
  <c r="BE60" i="1"/>
  <c r="N43" i="1"/>
  <c r="N44" i="1"/>
  <c r="AL48" i="1"/>
  <c r="AL47" i="1"/>
  <c r="X47" i="1"/>
  <c r="X48" i="1"/>
  <c r="BZ52" i="1"/>
  <c r="BZ51" i="1"/>
  <c r="AJ51" i="1"/>
  <c r="AJ52" i="1"/>
  <c r="S57" i="1"/>
  <c r="S58" i="1"/>
  <c r="BU61" i="1"/>
  <c r="BU62" i="1"/>
  <c r="O62" i="1"/>
  <c r="O61" i="1"/>
  <c r="J43" i="1"/>
  <c r="J44" i="1"/>
  <c r="T48" i="1"/>
  <c r="T47" i="1"/>
  <c r="BV52" i="1"/>
  <c r="BV51" i="1"/>
  <c r="AB51" i="1"/>
  <c r="AB52" i="1"/>
  <c r="CW57" i="1"/>
  <c r="CW58" i="1"/>
  <c r="O57" i="1"/>
  <c r="O58" i="1"/>
  <c r="BQ61" i="1"/>
  <c r="BQ62" i="1"/>
  <c r="V43" i="1"/>
  <c r="V44" i="1"/>
  <c r="AZ51" i="1"/>
  <c r="AZ52" i="1"/>
  <c r="G61" i="1"/>
  <c r="G62" i="1"/>
  <c r="AU48" i="1"/>
  <c r="AU47" i="1"/>
  <c r="BB57" i="1"/>
  <c r="BB58" i="1"/>
  <c r="AM59" i="1"/>
  <c r="AM60" i="1"/>
  <c r="AV65" i="1"/>
  <c r="AV66" i="1"/>
  <c r="CL43" i="1"/>
  <c r="CL44" i="1"/>
  <c r="CZ52" i="1"/>
  <c r="CZ51" i="1"/>
  <c r="CQ44" i="1"/>
  <c r="CQ43" i="1"/>
  <c r="AQ61" i="1"/>
  <c r="AQ62" i="1"/>
  <c r="AG51" i="1"/>
  <c r="AG52" i="1"/>
  <c r="CH61" i="1"/>
  <c r="CH62" i="1"/>
  <c r="AU65" i="1"/>
  <c r="AU66" i="1"/>
  <c r="BL62" i="1"/>
  <c r="BL61" i="1"/>
  <c r="G65" i="1"/>
  <c r="G66" i="1"/>
  <c r="Q53" i="1"/>
  <c r="Q54" i="1"/>
  <c r="L63" i="1"/>
  <c r="L64" i="1"/>
  <c r="CO63" i="1"/>
  <c r="CO64" i="1"/>
  <c r="AE46" i="1"/>
  <c r="AE45" i="1"/>
  <c r="Q46" i="1"/>
  <c r="Q45" i="1"/>
  <c r="BS49" i="1"/>
  <c r="BS50" i="1"/>
  <c r="X56" i="1"/>
  <c r="X55" i="1"/>
  <c r="CT55" i="1"/>
  <c r="CT56" i="1"/>
  <c r="BG53" i="1"/>
  <c r="BG54" i="1"/>
  <c r="BN60" i="1"/>
  <c r="BN59" i="1"/>
  <c r="BI66" i="1"/>
  <c r="BI65" i="1"/>
  <c r="BG43" i="1"/>
  <c r="BG44" i="1"/>
  <c r="L49" i="1"/>
  <c r="L50" i="1"/>
  <c r="AR46" i="1"/>
  <c r="AR45" i="1"/>
  <c r="CT50" i="1"/>
  <c r="CT49" i="1"/>
  <c r="AY55" i="1"/>
  <c r="AY56" i="1"/>
  <c r="BJ44" i="1"/>
  <c r="BJ43" i="1"/>
  <c r="BI49" i="1"/>
  <c r="BI50" i="1"/>
  <c r="BO58" i="1"/>
  <c r="BO57" i="1"/>
  <c r="T63" i="1"/>
  <c r="T64" i="1"/>
  <c r="J64" i="1"/>
  <c r="J63" i="1"/>
  <c r="M47" i="1"/>
  <c r="M48" i="1"/>
  <c r="BO52" i="1"/>
  <c r="BO51" i="1"/>
  <c r="AS43" i="1"/>
  <c r="AS44" i="1"/>
  <c r="CU47" i="1"/>
  <c r="CU48" i="1"/>
  <c r="BF44" i="1"/>
  <c r="BF43" i="1"/>
  <c r="CD47" i="1"/>
  <c r="CD48" i="1"/>
  <c r="W53" i="1"/>
  <c r="W54" i="1"/>
  <c r="BK58" i="1"/>
  <c r="BK57" i="1"/>
  <c r="P64" i="1"/>
  <c r="P63" i="1"/>
  <c r="CE45" i="1"/>
  <c r="CE46" i="1"/>
  <c r="AW58" i="1"/>
  <c r="AW57" i="1"/>
  <c r="M66" i="1"/>
  <c r="M65" i="1"/>
  <c r="J53" i="1"/>
  <c r="J54" i="1"/>
  <c r="AP50" i="1"/>
  <c r="AP49" i="1"/>
  <c r="Q59" i="1"/>
  <c r="Q60" i="1"/>
  <c r="CR65" i="1"/>
  <c r="CR66" i="1"/>
  <c r="CU59" i="1"/>
  <c r="CU60" i="1"/>
  <c r="BV66" i="1"/>
  <c r="BV65" i="1"/>
  <c r="CB47" i="1"/>
  <c r="CB48" i="1"/>
  <c r="BW58" i="1"/>
  <c r="BW57" i="1"/>
  <c r="CL45" i="1"/>
  <c r="CL46" i="1"/>
  <c r="CM66" i="1"/>
  <c r="CM65" i="1"/>
  <c r="AB53" i="1"/>
  <c r="AB54" i="1"/>
  <c r="BV53" i="1"/>
  <c r="BV54" i="1"/>
  <c r="K64" i="1"/>
  <c r="K63" i="1"/>
  <c r="CK50" i="1"/>
  <c r="CK49" i="1"/>
  <c r="CV49" i="1"/>
  <c r="CV50" i="1"/>
  <c r="AN65" i="1"/>
  <c r="AN66" i="1"/>
  <c r="AK45" i="1"/>
  <c r="AK46" i="1"/>
  <c r="CE61" i="1"/>
  <c r="CE62" i="1"/>
  <c r="I56" i="1"/>
  <c r="I55" i="1"/>
  <c r="AC55" i="1"/>
  <c r="AC56" i="1"/>
  <c r="BH63" i="1"/>
  <c r="BH64" i="1"/>
  <c r="CI60" i="1"/>
  <c r="CI59" i="1"/>
  <c r="CZ62" i="1"/>
  <c r="CZ61" i="1"/>
  <c r="BT51" i="1"/>
  <c r="BT52" i="1"/>
  <c r="CE43" i="1"/>
  <c r="CE44" i="1"/>
  <c r="U51" i="1"/>
  <c r="U52" i="1"/>
  <c r="AO65" i="1"/>
  <c r="AO66" i="1"/>
  <c r="BC59" i="1"/>
  <c r="BC60" i="1"/>
  <c r="CD58" i="1"/>
  <c r="CD57" i="1"/>
  <c r="CC56" i="1"/>
  <c r="CC55" i="1"/>
  <c r="CU66" i="1"/>
  <c r="CU65" i="1"/>
  <c r="BS65" i="1"/>
  <c r="BS66" i="1"/>
  <c r="CY55" i="1"/>
  <c r="CY56" i="1"/>
  <c r="T66" i="1"/>
  <c r="T65" i="1"/>
  <c r="CU64" i="1"/>
  <c r="CU63" i="1"/>
  <c r="AB57" i="1"/>
  <c r="AB58" i="1"/>
  <c r="BO61" i="1"/>
  <c r="BO62" i="1"/>
  <c r="CU55" i="1"/>
  <c r="CU56" i="1"/>
  <c r="S50" i="1"/>
  <c r="S49" i="1"/>
  <c r="N60" i="1"/>
  <c r="N59" i="1"/>
  <c r="N54" i="1"/>
  <c r="N53" i="1"/>
  <c r="CV53" i="1"/>
  <c r="CV54" i="1"/>
  <c r="BQ53" i="1"/>
  <c r="BQ54" i="1"/>
  <c r="BL64" i="1"/>
  <c r="BL63" i="1"/>
  <c r="CU43" i="1"/>
  <c r="CU44" i="1"/>
  <c r="CL62" i="1"/>
  <c r="CL61" i="1"/>
  <c r="P45" i="1"/>
  <c r="P46" i="1"/>
  <c r="CV44" i="1"/>
  <c r="CV43" i="1"/>
  <c r="BN55" i="1"/>
  <c r="BN56" i="1"/>
  <c r="CP63" i="1"/>
  <c r="CP64" i="1"/>
  <c r="L46" i="1"/>
  <c r="L45" i="1"/>
  <c r="BU59" i="1"/>
  <c r="BU60" i="1"/>
  <c r="AI57" i="1"/>
  <c r="AI58" i="1"/>
  <c r="CD45" i="1"/>
  <c r="CD46" i="1"/>
  <c r="P60" i="1"/>
  <c r="P59" i="1"/>
  <c r="AV43" i="1"/>
  <c r="AV44" i="1"/>
  <c r="CA48" i="1"/>
  <c r="CA47" i="1"/>
  <c r="AI59" i="1"/>
  <c r="AI60" i="1"/>
  <c r="BM51" i="1"/>
  <c r="BM52" i="1"/>
  <c r="CI58" i="1"/>
  <c r="CI57" i="1"/>
  <c r="O59" i="1"/>
  <c r="O60" i="1"/>
  <c r="AH46" i="1"/>
  <c r="AH45" i="1"/>
  <c r="BU51" i="1"/>
  <c r="BU52" i="1"/>
  <c r="CK46" i="1"/>
  <c r="CK45" i="1"/>
  <c r="AZ49" i="1"/>
  <c r="AZ50" i="1"/>
  <c r="BH57" i="1"/>
  <c r="BH58" i="1"/>
  <c r="CQ63" i="1"/>
  <c r="CQ64" i="1"/>
  <c r="AG59" i="1"/>
  <c r="AG60" i="1"/>
  <c r="BJ64" i="1"/>
  <c r="BJ63" i="1"/>
  <c r="M45" i="1"/>
  <c r="M46" i="1"/>
  <c r="AU55" i="1"/>
  <c r="AU56" i="1"/>
  <c r="BK49" i="1"/>
  <c r="BK50" i="1"/>
  <c r="AQ53" i="1"/>
  <c r="AQ54" i="1"/>
  <c r="AT54" i="1"/>
  <c r="AT53" i="1"/>
  <c r="R57" i="1"/>
  <c r="R58" i="1"/>
  <c r="BL58" i="1"/>
  <c r="BL57" i="1"/>
  <c r="CD59" i="1"/>
  <c r="CD60" i="1"/>
  <c r="CT47" i="1"/>
  <c r="CT48" i="1"/>
  <c r="AD61" i="1"/>
  <c r="AD62" i="1"/>
  <c r="CU61" i="1"/>
  <c r="CU62" i="1"/>
  <c r="CD44" i="1"/>
  <c r="CD43" i="1"/>
  <c r="BF55" i="1"/>
  <c r="BF56" i="1"/>
  <c r="O56" i="1"/>
  <c r="O55" i="1"/>
  <c r="AE49" i="1"/>
  <c r="AE50" i="1"/>
  <c r="CB51" i="1"/>
  <c r="CB52" i="1"/>
  <c r="E63" i="1"/>
  <c r="E64" i="1"/>
  <c r="DA55" i="1"/>
  <c r="DA56" i="1"/>
  <c r="CE66" i="1"/>
  <c r="CE65" i="1"/>
  <c r="AC59" i="1"/>
  <c r="AC60" i="1"/>
  <c r="BV44" i="1"/>
  <c r="BV43" i="1"/>
  <c r="S61" i="1"/>
  <c r="S62" i="1"/>
  <c r="CD62" i="1"/>
  <c r="CD61" i="1"/>
  <c r="CV63" i="1"/>
  <c r="CV64" i="1"/>
  <c r="CW47" i="1"/>
  <c r="CW48" i="1"/>
  <c r="K66" i="1"/>
  <c r="K65" i="1"/>
  <c r="AL52" i="1"/>
  <c r="AL51" i="1"/>
  <c r="CW43" i="1"/>
  <c r="CW44" i="1"/>
  <c r="BU64" i="1"/>
  <c r="BU63" i="1"/>
  <c r="F60" i="1"/>
  <c r="F59" i="1"/>
  <c r="CL53" i="1"/>
  <c r="CL54" i="1"/>
  <c r="CN61" i="1"/>
  <c r="CN62" i="1"/>
  <c r="AV58" i="1"/>
  <c r="AV57" i="1"/>
  <c r="AN51" i="1"/>
  <c r="AN52" i="1"/>
  <c r="AN43" i="1"/>
  <c r="AN44" i="1"/>
  <c r="AS54" i="1"/>
  <c r="AS53" i="1"/>
  <c r="AX64" i="1"/>
  <c r="AX63" i="1"/>
  <c r="BM44" i="1"/>
  <c r="BM43" i="1"/>
  <c r="Y59" i="1"/>
  <c r="Y60" i="1"/>
  <c r="CO45" i="1"/>
  <c r="CO46" i="1"/>
  <c r="BU58" i="1"/>
  <c r="BU57" i="1"/>
  <c r="AZ59" i="1"/>
  <c r="AZ60" i="1"/>
  <c r="Z57" i="1"/>
  <c r="Z58" i="1"/>
  <c r="AP51" i="1"/>
  <c r="AP52" i="1"/>
  <c r="CF56" i="1"/>
  <c r="CF55" i="1"/>
  <c r="L55" i="1"/>
  <c r="L56" i="1"/>
  <c r="CF46" i="1"/>
  <c r="CF45" i="1"/>
  <c r="P65" i="1"/>
  <c r="P66" i="1"/>
  <c r="AD48" i="1"/>
  <c r="AD47" i="1"/>
  <c r="AL54" i="1"/>
  <c r="AL53" i="1"/>
  <c r="CH65" i="1"/>
  <c r="CH66" i="1"/>
  <c r="BN51" i="1"/>
  <c r="BN52" i="1"/>
  <c r="G57" i="1"/>
  <c r="G58" i="1"/>
  <c r="BB46" i="1"/>
  <c r="BB45" i="1"/>
  <c r="AM48" i="1"/>
  <c r="AM47" i="1"/>
  <c r="BE55" i="1"/>
  <c r="BE56" i="1"/>
  <c r="AY53" i="1"/>
  <c r="AY54" i="1"/>
  <c r="BC44" i="1"/>
  <c r="BC43" i="1"/>
  <c r="AN45" i="1"/>
  <c r="AN46" i="1"/>
  <c r="W46" i="1"/>
  <c r="W45" i="1"/>
  <c r="BF60" i="1"/>
  <c r="BF59" i="1"/>
  <c r="AF54" i="1"/>
  <c r="AF53" i="1"/>
  <c r="BH55" i="1"/>
  <c r="BH56" i="1"/>
  <c r="K47" i="1"/>
  <c r="K48" i="1"/>
  <c r="AU46" i="1"/>
  <c r="AU45" i="1"/>
  <c r="AN56" i="1"/>
  <c r="AN55" i="1"/>
  <c r="AB49" i="1"/>
  <c r="AB50" i="1"/>
  <c r="M51" i="1"/>
  <c r="M52" i="1"/>
  <c r="AF43" i="1"/>
  <c r="AF44" i="1"/>
  <c r="AO53" i="1"/>
  <c r="AO54" i="1"/>
  <c r="CE57" i="1"/>
  <c r="CE58" i="1"/>
  <c r="BC53" i="1"/>
  <c r="BC54" i="1"/>
  <c r="CA57" i="1"/>
  <c r="CA58" i="1"/>
  <c r="BV50" i="1"/>
  <c r="BV49" i="1"/>
  <c r="AQ49" i="1"/>
  <c r="AQ50" i="1"/>
  <c r="BA43" i="1"/>
  <c r="BA44" i="1"/>
  <c r="BB44" i="1"/>
  <c r="BB43" i="1"/>
  <c r="AE51" i="1"/>
  <c r="AE52" i="1"/>
  <c r="BK59" i="1"/>
  <c r="BK60" i="1"/>
  <c r="CC46" i="1"/>
  <c r="CC45" i="1"/>
  <c r="BI57" i="1"/>
  <c r="BI58" i="1"/>
  <c r="AB59" i="1"/>
  <c r="AB60" i="1"/>
  <c r="BI51" i="1"/>
  <c r="BI52" i="1"/>
  <c r="AD59" i="1"/>
  <c r="AD60" i="1"/>
  <c r="BY47" i="1"/>
  <c r="BY48" i="1"/>
  <c r="BJ49" i="1"/>
  <c r="BJ50" i="1"/>
  <c r="BZ44" i="1"/>
  <c r="BZ43" i="1"/>
  <c r="Z59" i="1"/>
  <c r="Z60" i="1"/>
  <c r="BQ51" i="1"/>
  <c r="BQ52" i="1"/>
  <c r="CG66" i="1"/>
  <c r="CG65" i="1"/>
  <c r="AG53" i="1"/>
  <c r="AG54" i="1"/>
  <c r="P50" i="1"/>
  <c r="P49" i="1"/>
  <c r="CS64" i="1"/>
  <c r="CS63" i="1"/>
  <c r="BW64" i="1"/>
  <c r="BW63" i="1"/>
  <c r="BU44" i="1"/>
  <c r="BU43" i="1"/>
  <c r="I48" i="1"/>
  <c r="I47" i="1"/>
  <c r="AV54" i="1"/>
  <c r="AV53" i="1"/>
  <c r="AS64" i="1"/>
  <c r="AS63" i="1"/>
  <c r="AL43" i="1"/>
  <c r="AL44" i="1"/>
  <c r="AE61" i="1"/>
  <c r="AE62" i="1"/>
  <c r="BN53" i="1"/>
  <c r="BN54" i="1"/>
  <c r="AH57" i="1"/>
  <c r="AH58" i="1"/>
  <c r="AJ66" i="1"/>
  <c r="AJ65" i="1"/>
  <c r="BG52" i="1"/>
  <c r="BG51" i="1"/>
  <c r="BB54" i="1"/>
  <c r="BB53" i="1"/>
  <c r="AZ66" i="1"/>
  <c r="AZ65" i="1"/>
  <c r="CX56" i="1"/>
  <c r="CX55" i="1"/>
  <c r="BF63" i="1"/>
  <c r="BF64" i="1"/>
  <c r="CM52" i="1"/>
  <c r="CM51" i="1"/>
  <c r="CX57" i="1"/>
  <c r="CX58" i="1"/>
  <c r="R62" i="1"/>
  <c r="R61" i="1"/>
  <c r="BJ65" i="1"/>
  <c r="BJ66" i="1"/>
  <c r="CQ61" i="1"/>
  <c r="CQ62" i="1"/>
  <c r="CD55" i="1"/>
  <c r="CD56" i="1"/>
  <c r="AX59" i="1"/>
  <c r="AX60" i="1"/>
  <c r="AA66" i="1"/>
  <c r="AA65" i="1"/>
  <c r="DA61" i="1"/>
  <c r="DA62" i="1"/>
  <c r="CT46" i="1"/>
  <c r="CT45" i="1"/>
  <c r="M43" i="1"/>
  <c r="M44" i="1"/>
  <c r="CE47" i="1"/>
  <c r="CE48" i="1"/>
  <c r="BN48" i="1"/>
  <c r="BN47" i="1"/>
  <c r="CT57" i="1"/>
  <c r="CT58" i="1"/>
  <c r="CB65" i="1"/>
  <c r="CB66" i="1"/>
  <c r="BO60" i="1"/>
  <c r="BO59" i="1"/>
  <c r="BF66" i="1"/>
  <c r="BF65" i="1"/>
  <c r="Q63" i="1"/>
  <c r="Q64" i="1"/>
  <c r="H43" i="1"/>
  <c r="H44" i="1"/>
  <c r="CM45" i="1"/>
  <c r="CM46" i="1"/>
  <c r="BY45" i="1"/>
  <c r="BY46" i="1"/>
  <c r="AD51" i="1"/>
  <c r="AD52" i="1"/>
  <c r="Z51" i="1"/>
  <c r="Z52" i="1"/>
  <c r="T49" i="1"/>
  <c r="T50" i="1"/>
  <c r="AG58" i="1"/>
  <c r="AG57" i="1"/>
  <c r="M60" i="1"/>
  <c r="M59" i="1"/>
  <c r="CM60" i="1"/>
  <c r="CM59" i="1"/>
  <c r="CC50" i="1"/>
  <c r="CC49" i="1"/>
  <c r="BY57" i="1"/>
  <c r="BY58" i="1"/>
  <c r="CN55" i="1"/>
  <c r="CN56" i="1"/>
  <c r="AS61" i="1"/>
  <c r="AS62" i="1"/>
  <c r="DA54" i="1"/>
  <c r="DA53" i="1"/>
  <c r="CO47" i="1"/>
  <c r="CO48" i="1"/>
  <c r="AF60" i="1"/>
  <c r="AF59" i="1"/>
  <c r="X45" i="1"/>
  <c r="X46" i="1"/>
  <c r="BZ50" i="1"/>
  <c r="BZ49" i="1"/>
  <c r="G46" i="1"/>
  <c r="G45" i="1"/>
  <c r="CP44" i="1"/>
  <c r="CP43" i="1"/>
  <c r="AA57" i="1"/>
  <c r="AA58" i="1"/>
  <c r="CB64" i="1"/>
  <c r="CB63" i="1"/>
  <c r="X62" i="1"/>
  <c r="X61" i="1"/>
  <c r="AX53" i="1"/>
  <c r="AX54" i="1"/>
  <c r="CV61" i="1"/>
  <c r="CV62" i="1"/>
  <c r="BU65" i="1"/>
  <c r="BU66" i="1"/>
  <c r="CX63" i="1"/>
  <c r="CX64" i="1"/>
  <c r="CI55" i="1"/>
  <c r="CI56" i="1"/>
  <c r="L65" i="1"/>
  <c r="L66" i="1"/>
  <c r="AS49" i="1"/>
  <c r="AS50" i="1"/>
  <c r="AY43" i="1"/>
  <c r="AY44" i="1"/>
  <c r="CL49" i="1"/>
  <c r="CL50" i="1"/>
  <c r="AH43" i="1"/>
  <c r="AH44" i="1"/>
  <c r="BW66" i="1"/>
  <c r="BW65" i="1"/>
  <c r="BG45" i="1"/>
  <c r="BG46" i="1"/>
  <c r="AS45" i="1"/>
  <c r="AS46" i="1"/>
  <c r="CU49" i="1"/>
  <c r="CU50" i="1"/>
  <c r="CQ49" i="1"/>
  <c r="CQ50" i="1"/>
  <c r="AV55" i="1"/>
  <c r="AV56" i="1"/>
  <c r="F56" i="1"/>
  <c r="F55" i="1"/>
  <c r="Q61" i="1"/>
  <c r="Q62" i="1"/>
  <c r="CK44" i="1"/>
  <c r="CK43" i="1"/>
  <c r="AS55" i="1"/>
  <c r="AS56" i="1"/>
  <c r="BR57" i="1"/>
  <c r="BR58" i="1"/>
  <c r="BH66" i="1"/>
  <c r="BH65" i="1"/>
  <c r="AA60" i="1"/>
  <c r="AA59" i="1"/>
  <c r="CR55" i="1"/>
  <c r="CR56" i="1"/>
  <c r="AT46" i="1"/>
  <c r="AT45" i="1"/>
  <c r="CG51" i="1"/>
  <c r="CG52" i="1"/>
  <c r="L61" i="1"/>
  <c r="L62" i="1"/>
  <c r="M63" i="1"/>
  <c r="M64" i="1"/>
  <c r="DA65" i="1"/>
  <c r="DA66" i="1"/>
  <c r="CV46" i="1"/>
  <c r="CV45" i="1"/>
  <c r="F57" i="1"/>
  <c r="F58" i="1"/>
  <c r="BX57" i="1"/>
  <c r="BX58" i="1"/>
  <c r="X65" i="1"/>
  <c r="X66" i="1"/>
  <c r="CE59" i="1"/>
  <c r="CE60" i="1"/>
  <c r="BT43" i="1"/>
  <c r="BT44" i="1"/>
  <c r="E47" i="1"/>
  <c r="E48" i="1"/>
  <c r="AG65" i="1"/>
  <c r="AG66" i="1"/>
  <c r="AB61" i="1"/>
  <c r="AB62" i="1"/>
  <c r="CC65" i="1"/>
  <c r="CC66" i="1"/>
  <c r="AA49" i="1"/>
  <c r="AA50" i="1"/>
  <c r="AK43" i="1"/>
  <c r="AK44" i="1"/>
  <c r="BR54" i="1"/>
  <c r="BR53" i="1"/>
  <c r="CT53" i="1"/>
  <c r="CT54" i="1"/>
  <c r="W63" i="1"/>
  <c r="W64" i="1"/>
  <c r="CF51" i="1"/>
  <c r="CF52" i="1"/>
  <c r="AA52" i="1"/>
  <c r="AA51" i="1"/>
  <c r="L53" i="1"/>
  <c r="L54" i="1"/>
  <c r="CK63" i="1"/>
  <c r="CK64" i="1"/>
  <c r="G64" i="1"/>
  <c r="G63" i="1"/>
  <c r="CK65" i="1"/>
  <c r="CK66" i="1"/>
  <c r="BE50" i="1"/>
  <c r="BE49" i="1"/>
  <c r="AJ59" i="1"/>
  <c r="AJ60" i="1"/>
  <c r="CR50" i="1"/>
  <c r="CR49" i="1"/>
  <c r="AA47" i="1"/>
  <c r="AA48" i="1"/>
  <c r="G59" i="1"/>
  <c r="G60" i="1"/>
  <c r="CB58" i="1"/>
  <c r="CB57" i="1"/>
  <c r="N65" i="1"/>
  <c r="N66" i="1"/>
  <c r="S63" i="1"/>
  <c r="S64" i="1"/>
  <c r="BI55" i="1"/>
  <c r="BI56" i="1"/>
  <c r="BC63" i="1"/>
  <c r="BC64" i="1"/>
  <c r="AI45" i="1"/>
  <c r="AI46" i="1"/>
  <c r="V50" i="1"/>
  <c r="V49" i="1"/>
  <c r="CF66" i="1"/>
  <c r="CF65" i="1"/>
  <c r="BW60" i="1"/>
  <c r="BW59" i="1"/>
  <c r="AC66" i="1"/>
  <c r="AC65" i="1"/>
  <c r="CM47" i="1"/>
  <c r="CM48" i="1"/>
  <c r="AO64" i="1"/>
  <c r="AO63" i="1"/>
  <c r="CE64" i="1"/>
  <c r="CE63" i="1"/>
  <c r="AL61" i="1"/>
  <c r="AL62" i="1"/>
  <c r="BM46" i="1"/>
  <c r="BM45" i="1"/>
  <c r="BB56" i="1"/>
  <c r="BB55" i="1"/>
  <c r="BH49" i="1"/>
  <c r="BH50" i="1"/>
  <c r="BJ54" i="1"/>
  <c r="BJ53" i="1"/>
  <c r="Z55" i="1"/>
  <c r="Z56" i="1"/>
  <c r="AE65" i="1"/>
  <c r="AE66" i="1"/>
  <c r="O49" i="1"/>
  <c r="O50" i="1"/>
  <c r="AV52" i="1"/>
  <c r="AV51" i="1"/>
  <c r="CC59" i="1"/>
  <c r="CC60" i="1"/>
  <c r="BR51" i="1"/>
  <c r="BR52" i="1"/>
  <c r="BM56" i="1"/>
  <c r="BM55" i="1"/>
  <c r="CH43" i="1"/>
  <c r="CH44" i="1"/>
  <c r="AH60" i="1"/>
  <c r="AH59" i="1"/>
  <c r="AH53" i="1"/>
  <c r="AH54" i="1"/>
  <c r="S55" i="1"/>
  <c r="S56" i="1"/>
  <c r="CK61" i="1"/>
  <c r="CK62" i="1"/>
  <c r="BE65" i="1"/>
  <c r="BE66" i="1"/>
  <c r="Z43" i="1"/>
  <c r="Z44" i="1"/>
  <c r="BH51" i="1"/>
  <c r="BH52" i="1"/>
  <c r="CA53" i="1"/>
  <c r="CA54" i="1"/>
  <c r="Z45" i="1"/>
  <c r="Z46" i="1"/>
  <c r="AT56" i="1"/>
  <c r="AT55" i="1"/>
  <c r="BS53" i="1"/>
  <c r="BS54" i="1"/>
  <c r="AN64" i="1"/>
  <c r="AN63" i="1"/>
  <c r="CI52" i="1"/>
  <c r="CI51" i="1"/>
  <c r="BU50" i="1"/>
  <c r="BU49" i="1"/>
  <c r="CJ50" i="1"/>
  <c r="CJ49" i="1"/>
  <c r="S47" i="1"/>
  <c r="S48" i="1"/>
  <c r="CS57" i="1"/>
  <c r="CS58" i="1"/>
  <c r="AA45" i="1"/>
  <c r="AA46" i="1"/>
  <c r="AK63" i="1"/>
  <c r="AK64" i="1"/>
  <c r="CN57" i="1"/>
  <c r="CN58" i="1"/>
  <c r="AC47" i="1"/>
  <c r="AC48" i="1"/>
  <c r="N49" i="1"/>
  <c r="N50" i="1"/>
  <c r="CL66" i="1"/>
  <c r="CL65" i="1"/>
  <c r="AW63" i="1"/>
  <c r="AW64" i="1"/>
  <c r="BK48" i="1"/>
  <c r="BK47" i="1"/>
  <c r="CR43" i="1"/>
  <c r="CR44" i="1"/>
  <c r="CK53" i="1"/>
  <c r="CK54" i="1"/>
  <c r="AB63" i="1"/>
  <c r="AB64" i="1"/>
  <c r="BC56" i="1"/>
  <c r="BC55" i="1"/>
  <c r="CW56" i="1"/>
  <c r="CW55" i="1"/>
  <c r="BF49" i="1"/>
  <c r="BF50" i="1"/>
  <c r="CZ65" i="1"/>
  <c r="CZ66" i="1"/>
  <c r="AO48" i="1"/>
  <c r="AO47" i="1"/>
  <c r="BI63" i="1"/>
  <c r="BI64" i="1"/>
  <c r="BQ60" i="1"/>
  <c r="BQ59" i="1"/>
  <c r="BH61" i="1"/>
  <c r="BH62" i="1"/>
  <c r="CS61" i="1"/>
  <c r="CS62" i="1"/>
  <c r="CT66" i="1"/>
  <c r="CT65" i="1"/>
  <c r="BQ47" i="1"/>
  <c r="BQ48" i="1"/>
  <c r="AO55" i="1"/>
  <c r="AO56" i="1"/>
  <c r="AY64" i="1"/>
  <c r="AY63" i="1"/>
  <c r="BG66" i="1"/>
  <c r="BG65" i="1"/>
  <c r="BL50" i="1"/>
  <c r="BL49" i="1"/>
  <c r="BP57" i="1"/>
  <c r="BP58" i="1"/>
  <c r="K61" i="1"/>
  <c r="K62" i="1"/>
  <c r="AQ59" i="1"/>
  <c r="AQ60" i="1"/>
  <c r="CZ64" i="1"/>
  <c r="CZ63" i="1"/>
  <c r="L44" i="1"/>
  <c r="L43" i="1"/>
  <c r="CW49" i="1"/>
  <c r="CW50" i="1"/>
  <c r="AG48" i="1"/>
  <c r="AG47" i="1"/>
  <c r="R49" i="1"/>
  <c r="R50" i="1"/>
  <c r="AT52" i="1"/>
  <c r="AT51" i="1"/>
  <c r="CJ55" i="1"/>
  <c r="CJ56" i="1"/>
  <c r="BM50" i="1"/>
  <c r="BM49" i="1"/>
  <c r="AK61" i="1"/>
  <c r="AK62" i="1"/>
  <c r="AI66" i="1"/>
  <c r="AI65" i="1"/>
  <c r="CM55" i="1"/>
  <c r="CM56" i="1"/>
  <c r="BR49" i="1"/>
  <c r="BR50" i="1"/>
  <c r="CJ64" i="1"/>
  <c r="CJ63" i="1"/>
  <c r="Z48" i="1"/>
  <c r="Z47" i="1"/>
  <c r="L51" i="1"/>
  <c r="L52" i="1"/>
  <c r="BI61" i="1"/>
  <c r="BI62" i="1"/>
  <c r="G52" i="1"/>
  <c r="G51" i="1"/>
  <c r="CO51" i="1"/>
  <c r="CO52" i="1"/>
  <c r="T56" i="1"/>
  <c r="T55" i="1"/>
  <c r="BJ59" i="1"/>
  <c r="BJ60" i="1"/>
  <c r="H49" i="1"/>
  <c r="H50" i="1"/>
  <c r="CP49" i="1"/>
  <c r="CP50" i="1"/>
  <c r="I46" i="1"/>
  <c r="I45" i="1"/>
  <c r="CL55" i="1"/>
  <c r="CL56" i="1"/>
  <c r="AS66" i="1"/>
  <c r="AS65" i="1"/>
  <c r="CP45" i="1"/>
  <c r="CP46" i="1"/>
  <c r="O63" i="1"/>
  <c r="O64" i="1"/>
  <c r="S43" i="1"/>
  <c r="S44" i="1"/>
  <c r="AG46" i="1"/>
  <c r="AG45" i="1"/>
  <c r="CZ60" i="1"/>
  <c r="CZ59" i="1"/>
  <c r="BO55" i="1"/>
  <c r="BO56" i="1"/>
  <c r="CX48" i="1"/>
  <c r="CX47" i="1"/>
  <c r="BK53" i="1"/>
  <c r="BK54" i="1"/>
  <c r="AJ63" i="1"/>
  <c r="AJ64" i="1"/>
  <c r="CE52" i="1"/>
  <c r="CE51" i="1"/>
  <c r="BP53" i="1"/>
  <c r="BP54" i="1"/>
  <c r="CF47" i="1"/>
  <c r="CF48" i="1"/>
  <c r="CG49" i="1"/>
  <c r="CG50" i="1"/>
  <c r="AT47" i="1"/>
  <c r="AT48" i="1"/>
  <c r="X60" i="1"/>
  <c r="X59" i="1"/>
  <c r="BF62" i="1"/>
  <c r="BF61" i="1"/>
  <c r="U47" i="1"/>
  <c r="U48" i="1"/>
  <c r="BZ54" i="1"/>
  <c r="BZ53" i="1"/>
  <c r="AA64" i="1"/>
  <c r="AA63" i="1"/>
  <c r="CQ46" i="1"/>
  <c r="CQ45" i="1"/>
  <c r="AW50" i="1"/>
  <c r="AW49" i="1"/>
  <c r="AC61" i="1"/>
  <c r="AC62" i="1"/>
  <c r="BX49" i="1"/>
  <c r="BX50" i="1"/>
  <c r="N58" i="1"/>
  <c r="N57" i="1"/>
  <c r="CJ51" i="1"/>
  <c r="CJ52" i="1"/>
  <c r="CW66" i="1"/>
  <c r="CW65" i="1"/>
  <c r="H45" i="1"/>
  <c r="H46" i="1"/>
  <c r="CN44" i="1"/>
  <c r="CN43" i="1"/>
  <c r="BQ45" i="1"/>
  <c r="BQ46" i="1"/>
  <c r="N63" i="1"/>
  <c r="N64" i="1"/>
  <c r="AQ66" i="1"/>
  <c r="AQ65" i="1"/>
  <c r="N47" i="1"/>
  <c r="N48" i="1"/>
  <c r="Z53" i="1"/>
  <c r="Z54" i="1"/>
  <c r="AX62" i="1"/>
  <c r="AX61" i="1"/>
  <c r="CM49" i="1"/>
  <c r="CM50" i="1"/>
  <c r="V60" i="1"/>
  <c r="V59" i="1"/>
  <c r="O46" i="1"/>
  <c r="O45" i="1"/>
  <c r="BC50" i="1"/>
  <c r="BC49" i="1"/>
  <c r="AO44" i="1"/>
  <c r="AO43" i="1"/>
  <c r="AB46" i="1"/>
  <c r="AB45" i="1"/>
  <c r="AI55" i="1"/>
  <c r="AI56" i="1"/>
  <c r="BR47" i="1"/>
  <c r="BR48" i="1"/>
  <c r="CV52" i="1"/>
  <c r="CV51" i="1"/>
  <c r="AY51" i="1"/>
  <c r="AY52" i="1"/>
  <c r="AJ53" i="1"/>
  <c r="AJ54" i="1"/>
  <c r="AZ48" i="1"/>
  <c r="AZ47" i="1"/>
  <c r="U49" i="1"/>
  <c r="U50" i="1"/>
  <c r="S45" i="1"/>
  <c r="S46" i="1"/>
  <c r="CA51" i="1"/>
  <c r="CA52" i="1"/>
  <c r="J62" i="1"/>
  <c r="J61" i="1"/>
  <c r="K58" i="1"/>
  <c r="K57" i="1"/>
  <c r="BR63" i="1"/>
  <c r="BR64" i="1"/>
  <c r="CS51" i="1"/>
  <c r="CS52" i="1"/>
  <c r="AP53" i="1"/>
  <c r="AP54" i="1"/>
  <c r="CR62" i="1"/>
  <c r="CR61" i="1"/>
  <c r="CL47" i="1"/>
  <c r="CL48" i="1"/>
  <c r="BX48" i="1"/>
  <c r="BX47" i="1"/>
  <c r="AC53" i="1"/>
  <c r="AC54" i="1"/>
  <c r="AM53" i="1"/>
  <c r="AM54" i="1"/>
  <c r="BQ49" i="1"/>
  <c r="BQ50" i="1"/>
  <c r="BS57" i="1"/>
  <c r="BS58" i="1"/>
  <c r="X64" i="1"/>
  <c r="X63" i="1"/>
  <c r="R63" i="1"/>
  <c r="R64" i="1"/>
  <c r="Q48" i="1"/>
  <c r="Q47" i="1"/>
  <c r="BS51" i="1"/>
  <c r="BS52" i="1"/>
  <c r="AW44" i="1"/>
  <c r="AW43" i="1"/>
  <c r="CY48" i="1"/>
  <c r="CY47" i="1"/>
  <c r="BD54" i="1"/>
  <c r="BD53" i="1"/>
  <c r="CF57" i="1"/>
  <c r="CF58" i="1"/>
  <c r="AO50" i="1"/>
  <c r="AO49" i="1"/>
  <c r="BE58" i="1"/>
  <c r="BE57" i="1"/>
  <c r="BT56" i="1"/>
  <c r="BT55" i="1"/>
  <c r="Y61" i="1"/>
  <c r="Y62" i="1"/>
  <c r="AQ43" i="1"/>
  <c r="AQ44" i="1"/>
  <c r="R45" i="1"/>
  <c r="R46" i="1"/>
  <c r="BT50" i="1"/>
  <c r="BT49" i="1"/>
  <c r="CM62" i="1"/>
  <c r="CM61" i="1"/>
  <c r="CZ45" i="1"/>
  <c r="CZ46" i="1"/>
  <c r="BE51" i="1"/>
  <c r="BE52" i="1"/>
  <c r="J57" i="1"/>
  <c r="J58" i="1"/>
  <c r="CI46" i="1"/>
  <c r="CI45" i="1"/>
  <c r="BU46" i="1"/>
  <c r="BU45" i="1"/>
  <c r="AG50" i="1"/>
  <c r="AG49" i="1"/>
  <c r="BA57" i="1"/>
  <c r="BA58" i="1"/>
  <c r="BP56" i="1"/>
  <c r="BP55" i="1"/>
  <c r="U61" i="1"/>
  <c r="U62" i="1"/>
  <c r="AM44" i="1"/>
  <c r="AM43" i="1"/>
  <c r="AW54" i="1"/>
  <c r="AW53" i="1"/>
  <c r="AR63" i="1"/>
  <c r="AR64" i="1"/>
  <c r="AZ46" i="1"/>
  <c r="AZ45" i="1"/>
  <c r="BG56" i="1"/>
  <c r="BG55" i="1"/>
  <c r="L58" i="1"/>
  <c r="L57" i="1"/>
  <c r="CW64" i="1"/>
  <c r="CW63" i="1"/>
  <c r="H58" i="1"/>
  <c r="H57" i="1"/>
  <c r="CA63" i="1"/>
  <c r="CA64" i="1"/>
  <c r="BO45" i="1"/>
  <c r="BO46" i="1"/>
  <c r="CT64" i="1"/>
  <c r="CT63" i="1"/>
  <c r="F54" i="1"/>
  <c r="F53" i="1"/>
  <c r="AL49" i="1"/>
  <c r="AL50" i="1"/>
  <c r="AH62" i="1"/>
  <c r="AH61" i="1"/>
  <c r="CN66" i="1"/>
  <c r="CN65" i="1"/>
  <c r="BR65" i="1"/>
  <c r="BR66" i="1"/>
  <c r="J47" i="1"/>
  <c r="J48" i="1"/>
  <c r="CS46" i="1"/>
  <c r="CS45" i="1"/>
  <c r="AX51" i="1"/>
  <c r="AX52" i="1"/>
  <c r="BH59" i="1"/>
  <c r="BH60" i="1"/>
  <c r="AL46" i="1"/>
  <c r="AL45" i="1"/>
  <c r="CN49" i="1"/>
  <c r="CN50" i="1"/>
  <c r="AD63" i="1"/>
  <c r="AD64" i="1"/>
  <c r="W48" i="1"/>
  <c r="W47" i="1"/>
  <c r="BY51" i="1"/>
  <c r="BY52" i="1"/>
  <c r="AD58" i="1"/>
  <c r="AD57" i="1"/>
  <c r="Y56" i="1"/>
  <c r="Y55" i="1"/>
  <c r="K45" i="1"/>
  <c r="K46" i="1"/>
  <c r="CT43" i="1"/>
  <c r="CT44" i="1"/>
  <c r="AY50" i="1"/>
  <c r="AY49" i="1"/>
  <c r="BZ56" i="1"/>
  <c r="BZ55" i="1"/>
  <c r="S53" i="1"/>
  <c r="S54" i="1"/>
  <c r="AT60" i="1"/>
  <c r="AT59" i="1"/>
  <c r="S66" i="1"/>
  <c r="S65" i="1"/>
  <c r="AG44" i="1"/>
  <c r="AG43" i="1"/>
  <c r="AE56" i="1"/>
  <c r="AE55" i="1"/>
  <c r="AU49" i="1"/>
  <c r="AU50" i="1"/>
  <c r="CW53" i="1"/>
  <c r="CW54" i="1"/>
  <c r="BV55" i="1"/>
  <c r="BV56" i="1"/>
  <c r="K53" i="1"/>
  <c r="K54" i="1"/>
  <c r="AP59" i="1"/>
  <c r="AP60" i="1"/>
  <c r="I65" i="1"/>
  <c r="I66" i="1"/>
  <c r="AF47" i="1"/>
  <c r="AF48" i="1"/>
  <c r="BJ46" i="1"/>
  <c r="BJ45" i="1"/>
  <c r="CW51" i="1"/>
  <c r="CW52" i="1"/>
  <c r="U63" i="1"/>
  <c r="U64" i="1"/>
  <c r="CS53" i="1"/>
  <c r="CS54" i="1"/>
  <c r="AV50" i="1"/>
  <c r="AV49" i="1"/>
  <c r="CB45" i="1"/>
  <c r="CB46" i="1"/>
  <c r="AR57" i="1"/>
  <c r="AR58" i="1"/>
  <c r="AF58" i="1"/>
  <c r="AF57" i="1"/>
  <c r="CM64" i="1"/>
  <c r="CM63" i="1"/>
  <c r="BZ47" i="1"/>
  <c r="BZ48" i="1"/>
  <c r="BD60" i="1"/>
  <c r="BD59" i="1"/>
  <c r="AW59" i="1"/>
  <c r="AW60" i="1"/>
  <c r="BN62" i="1"/>
  <c r="BN61" i="1"/>
  <c r="BF48" i="1"/>
  <c r="BF47" i="1"/>
  <c r="AR48" i="1"/>
  <c r="AR47" i="1"/>
  <c r="CT51" i="1"/>
  <c r="CT52" i="1"/>
  <c r="BX52" i="1"/>
  <c r="BX51" i="1"/>
  <c r="E50" i="1"/>
  <c r="E49" i="1"/>
  <c r="AM57" i="1"/>
  <c r="AM58" i="1"/>
  <c r="CO61" i="1"/>
  <c r="CO62" i="1"/>
  <c r="BC61" i="1"/>
  <c r="BC62" i="1"/>
  <c r="CH46" i="1"/>
  <c r="CH45" i="1"/>
  <c r="AM52" i="1"/>
  <c r="AM51" i="1"/>
  <c r="BS48" i="1"/>
  <c r="BS47" i="1"/>
  <c r="X54" i="1"/>
  <c r="X53" i="1"/>
  <c r="BZ58" i="1"/>
  <c r="BZ57" i="1"/>
  <c r="T57" i="1"/>
  <c r="T58" i="1"/>
  <c r="AZ55" i="1"/>
  <c r="AZ56" i="1"/>
  <c r="Y57" i="1"/>
  <c r="Y58" i="1"/>
  <c r="N56" i="1"/>
  <c r="N55" i="1"/>
  <c r="CP59" i="1"/>
  <c r="CP60" i="1"/>
  <c r="K43" i="1"/>
  <c r="K44" i="1"/>
  <c r="CI44" i="1"/>
  <c r="CI43" i="1"/>
  <c r="AN50" i="1"/>
  <c r="AN49" i="1"/>
  <c r="AA62" i="1"/>
  <c r="AA61" i="1"/>
  <c r="BT45" i="1"/>
  <c r="BT46" i="1"/>
  <c r="Y51" i="1"/>
  <c r="Y52" i="1"/>
  <c r="CA55" i="1"/>
  <c r="CA56" i="1"/>
  <c r="BC46" i="1"/>
  <c r="BC45" i="1"/>
  <c r="AO46" i="1"/>
  <c r="AO45" i="1"/>
  <c r="U58" i="1"/>
  <c r="U57" i="1"/>
  <c r="CL59" i="1"/>
  <c r="CL60" i="1"/>
  <c r="G43" i="1"/>
  <c r="G44" i="1"/>
  <c r="V52" i="1"/>
  <c r="V51" i="1"/>
  <c r="BE48" i="1"/>
  <c r="BE47" i="1"/>
  <c r="CR53" i="1"/>
  <c r="CR54" i="1"/>
  <c r="AG56" i="1"/>
  <c r="AG55" i="1"/>
  <c r="BQ63" i="1"/>
  <c r="BQ64" i="1"/>
  <c r="AU63" i="1"/>
  <c r="AU64" i="1"/>
  <c r="P43" i="1"/>
  <c r="P44" i="1"/>
  <c r="AU53" i="1"/>
  <c r="AU54" i="1"/>
  <c r="BK61" i="1"/>
  <c r="BK62" i="1"/>
  <c r="AQ52" i="1"/>
  <c r="AQ51" i="1"/>
  <c r="BW47" i="1"/>
  <c r="BW48" i="1"/>
  <c r="BS59" i="1"/>
  <c r="BS60" i="1"/>
  <c r="AL65" i="1"/>
  <c r="AL66" i="1"/>
  <c r="CW45" i="1"/>
  <c r="CW46" i="1"/>
  <c r="AT63" i="1"/>
  <c r="AT64" i="1"/>
  <c r="BO66" i="1"/>
  <c r="BO65" i="1"/>
  <c r="AR55" i="1"/>
  <c r="AR56" i="1"/>
  <c r="BP49" i="1"/>
  <c r="BP50" i="1"/>
  <c r="Y64" i="1"/>
  <c r="Y63" i="1"/>
  <c r="BP46" i="1"/>
  <c r="BP45" i="1"/>
  <c r="BW55" i="1"/>
  <c r="BW56" i="1"/>
  <c r="CG55" i="1"/>
  <c r="CG56" i="1"/>
  <c r="BM58" i="1"/>
  <c r="BM57" i="1"/>
  <c r="BM65" i="1"/>
  <c r="BM66" i="1"/>
  <c r="V54" i="1"/>
  <c r="V53" i="1"/>
  <c r="CP61" i="1"/>
  <c r="CP62" i="1"/>
  <c r="BT62" i="1"/>
  <c r="BT61" i="1"/>
  <c r="U66" i="1"/>
  <c r="U65" i="1"/>
  <c r="AZ44" i="1"/>
  <c r="AZ43" i="1"/>
  <c r="CP65" i="1"/>
  <c r="CP66" i="1"/>
  <c r="CA46" i="1"/>
  <c r="CA45" i="1"/>
  <c r="F46" i="1"/>
  <c r="F45" i="1"/>
  <c r="AS51" i="1"/>
  <c r="AS52" i="1"/>
  <c r="CB43" i="1"/>
  <c r="CB44" i="1"/>
  <c r="BU54" i="1"/>
  <c r="BU53" i="1"/>
  <c r="BP63" i="1"/>
  <c r="BP64" i="1"/>
  <c r="R55" i="1"/>
  <c r="R56" i="1"/>
  <c r="E46" i="1"/>
  <c r="E45" i="1"/>
  <c r="AK51" i="1"/>
  <c r="AK52" i="1"/>
  <c r="BM61" i="1"/>
  <c r="BM62" i="1"/>
  <c r="W55" i="1"/>
  <c r="W56" i="1"/>
  <c r="BG64" i="1"/>
  <c r="BG63" i="1"/>
  <c r="AM49" i="1"/>
  <c r="AM50" i="1"/>
  <c r="CR52" i="1"/>
  <c r="CR51" i="1"/>
  <c r="I44" i="1"/>
  <c r="I43" i="1"/>
  <c r="BN50" i="1"/>
  <c r="BN49" i="1"/>
  <c r="AU61" i="1"/>
  <c r="AU62" i="1"/>
  <c r="BO47" i="1"/>
  <c r="BO48" i="1"/>
  <c r="AX48" i="1"/>
  <c r="AX47" i="1"/>
  <c r="AE57" i="1"/>
  <c r="AE58" i="1"/>
  <c r="BS61" i="1"/>
  <c r="BS62" i="1"/>
  <c r="BV58" i="1"/>
  <c r="BV57" i="1"/>
  <c r="AD56" i="1"/>
  <c r="AD55" i="1"/>
  <c r="I61" i="1"/>
  <c r="I62" i="1"/>
  <c r="V63" i="1"/>
  <c r="V64" i="1"/>
  <c r="CY46" i="1"/>
  <c r="CY45" i="1"/>
  <c r="AN58" i="1"/>
  <c r="AN57" i="1"/>
  <c r="BB61" i="1"/>
  <c r="BB62" i="1"/>
  <c r="BO49" i="1"/>
  <c r="BO50" i="1"/>
  <c r="P56" i="1"/>
  <c r="P55" i="1"/>
  <c r="CM57" i="1"/>
  <c r="CM58" i="1"/>
  <c r="CD53" i="1"/>
  <c r="CD54" i="1"/>
  <c r="AB66" i="1"/>
  <c r="AB65" i="1"/>
  <c r="M57" i="1"/>
  <c r="M58" i="1"/>
  <c r="CQ65" i="1"/>
  <c r="CQ66" i="1"/>
  <c r="BI43" i="1"/>
  <c r="BI44" i="1"/>
  <c r="L59" i="1"/>
  <c r="L60" i="1"/>
  <c r="CR64" i="1"/>
  <c r="CR63" i="1"/>
  <c r="AM62" i="1"/>
  <c r="AM61" i="1"/>
  <c r="BN58" i="1"/>
  <c r="BN57" i="1"/>
  <c r="AI49" i="1"/>
  <c r="AI50" i="1"/>
  <c r="CG54" i="1"/>
  <c r="CG53" i="1"/>
  <c r="BJ56" i="1"/>
  <c r="BJ55" i="1"/>
  <c r="CH60" i="1"/>
  <c r="CH59" i="1"/>
  <c r="CB53" i="1"/>
  <c r="CB54" i="1"/>
  <c r="BN66" i="1"/>
  <c r="BN65" i="1"/>
  <c r="AM55" i="1"/>
  <c r="AM56" i="1"/>
  <c r="CX52" i="1"/>
  <c r="CX51" i="1"/>
  <c r="AF45" i="1"/>
  <c r="AF46" i="1"/>
  <c r="AR61" i="1"/>
  <c r="AR62" i="1"/>
  <c r="AG61" i="1"/>
  <c r="AG62" i="1"/>
  <c r="G56" i="1"/>
  <c r="G55" i="1"/>
  <c r="BA55" i="1"/>
  <c r="BA56" i="1"/>
  <c r="AB55" i="1"/>
  <c r="AB56" i="1"/>
  <c r="CR45" i="1"/>
  <c r="CR46" i="1"/>
  <c r="CY63" i="1"/>
  <c r="CY64" i="1"/>
  <c r="CN47" i="1"/>
  <c r="CN48" i="1"/>
  <c r="BT54" i="1"/>
  <c r="BT53" i="1"/>
  <c r="F47" i="1"/>
  <c r="F48" i="1"/>
  <c r="AO61" i="1"/>
  <c r="AO62" i="1"/>
  <c r="BQ57" i="1"/>
  <c r="BQ58" i="1"/>
  <c r="AR59" i="1"/>
  <c r="AR60" i="1"/>
  <c r="Q44" i="1"/>
  <c r="Q43" i="1"/>
  <c r="V61" i="1"/>
  <c r="V62" i="1"/>
  <c r="L48" i="1"/>
  <c r="L47" i="1"/>
  <c r="CO57" i="1"/>
  <c r="CO58" i="1"/>
  <c r="CN59" i="1"/>
  <c r="CN60" i="1"/>
  <c r="AT57" i="1"/>
  <c r="AT58" i="1"/>
  <c r="CP56" i="1"/>
  <c r="CP55" i="1"/>
  <c r="BA66" i="1"/>
  <c r="BA65" i="1"/>
  <c r="BL60" i="1"/>
  <c r="BL59" i="1"/>
  <c r="CR47" i="1"/>
  <c r="CR48" i="1"/>
  <c r="E44" i="1"/>
  <c r="CY65" i="1"/>
  <c r="CY66" i="1"/>
  <c r="CB50" i="1"/>
  <c r="CB49" i="1"/>
  <c r="F65" i="1"/>
  <c r="F66" i="1"/>
  <c r="CI50" i="1"/>
  <c r="CI49" i="1"/>
  <c r="CM53" i="1"/>
  <c r="CM54" i="1"/>
  <c r="BW43" i="1"/>
  <c r="BW44" i="1"/>
  <c r="BH46" i="1"/>
  <c r="BH45" i="1"/>
  <c r="T61" i="1"/>
  <c r="T62" i="1"/>
  <c r="CJ47" i="1"/>
  <c r="CJ48" i="1"/>
  <c r="CO49" i="1"/>
  <c r="CO50" i="1"/>
  <c r="AP64" i="1"/>
  <c r="AP63" i="1"/>
  <c r="X43" i="1"/>
  <c r="X44" i="1"/>
  <c r="AK54" i="1"/>
  <c r="AK53" i="1"/>
  <c r="AF64" i="1"/>
  <c r="AF63" i="1"/>
  <c r="Y44" i="1"/>
  <c r="Y43" i="1"/>
  <c r="AK59" i="1"/>
  <c r="AK60" i="1"/>
  <c r="AL60" i="1"/>
  <c r="AL59" i="1"/>
  <c r="BH53" i="1"/>
  <c r="BH54" i="1"/>
  <c r="E56" i="1"/>
  <c r="E55" i="1"/>
  <c r="O53" i="1"/>
  <c r="O54" i="1"/>
  <c r="BD65" i="1"/>
  <c r="BD66" i="1"/>
  <c r="AH52" i="1"/>
  <c r="AH51" i="1"/>
  <c r="BX55" i="1"/>
  <c r="BX56" i="1"/>
  <c r="V46" i="1"/>
  <c r="V45" i="1"/>
  <c r="G48" i="1"/>
  <c r="G47" i="1"/>
  <c r="CP54" i="1"/>
  <c r="CP53" i="1"/>
  <c r="CH63" i="1"/>
  <c r="CH64" i="1"/>
  <c r="AD54" i="1"/>
  <c r="AD53" i="1"/>
  <c r="AX55" i="1"/>
  <c r="AX56" i="1"/>
  <c r="CD63" i="1"/>
  <c r="CD64" i="1"/>
  <c r="AD45" i="1"/>
  <c r="AD46" i="1"/>
  <c r="CW60" i="1"/>
  <c r="CW59" i="1"/>
  <c r="CF61" i="1"/>
  <c r="CF62" i="1"/>
  <c r="AV45" i="1"/>
  <c r="AV46" i="1"/>
  <c r="CC58" i="1"/>
  <c r="CC57" i="1"/>
  <c r="CX43" i="1"/>
  <c r="CX44" i="1"/>
  <c r="H56" i="1"/>
  <c r="H55" i="1"/>
  <c r="AA53" i="1"/>
  <c r="AA54" i="1"/>
  <c r="CS48" i="1"/>
  <c r="CS47" i="1"/>
  <c r="AN60" i="1"/>
  <c r="AN59" i="1"/>
  <c r="CD49" i="1"/>
  <c r="CD50" i="1"/>
  <c r="CK59" i="1"/>
  <c r="CK60" i="1"/>
  <c r="AT44" i="1"/>
  <c r="AT43" i="1"/>
  <c r="BD47" i="1"/>
  <c r="BD48" i="1"/>
  <c r="I54" i="1"/>
  <c r="I53" i="1"/>
  <c r="AC49" i="1"/>
  <c r="AC50" i="1"/>
  <c r="AY58" i="1"/>
  <c r="AY57" i="1"/>
  <c r="CA62" i="1"/>
  <c r="CA61" i="1"/>
  <c r="AP44" i="1"/>
  <c r="AP43" i="1"/>
  <c r="E54" i="1"/>
  <c r="E53" i="1"/>
  <c r="CN51" i="1"/>
  <c r="CN52" i="1"/>
  <c r="AU58" i="1"/>
  <c r="AU57" i="1"/>
  <c r="CW61" i="1"/>
  <c r="CW62" i="1"/>
  <c r="CH56" i="1"/>
  <c r="CH55" i="1"/>
  <c r="AH63" i="1"/>
  <c r="AH64" i="1"/>
  <c r="J49" i="1"/>
  <c r="J50" i="1"/>
  <c r="P47" i="1"/>
  <c r="P48" i="1"/>
  <c r="BF46" i="1"/>
  <c r="BF45" i="1"/>
  <c r="P62" i="1"/>
  <c r="P61" i="1"/>
  <c r="I59" i="1"/>
  <c r="I60" i="1"/>
  <c r="Q49" i="1"/>
  <c r="Q50" i="1"/>
  <c r="AS57" i="1"/>
  <c r="AS58" i="1"/>
  <c r="M61" i="1"/>
  <c r="M62" i="1"/>
  <c r="AE44" i="1"/>
  <c r="AE43" i="1"/>
  <c r="BI47" i="1"/>
  <c r="BI48" i="1"/>
  <c r="CO43" i="1"/>
  <c r="CO44" i="1"/>
  <c r="AT50" i="1"/>
  <c r="AT49" i="1"/>
  <c r="BX44" i="1"/>
  <c r="BX43" i="1"/>
  <c r="BH44" i="1"/>
  <c r="BH43" i="1"/>
  <c r="AI53" i="1"/>
  <c r="AI54" i="1"/>
  <c r="BC65" i="1"/>
  <c r="BC66" i="1"/>
  <c r="BP61" i="1"/>
  <c r="BP62" i="1"/>
  <c r="O65" i="1"/>
  <c r="O66" i="1"/>
  <c r="CC63" i="1"/>
  <c r="CC64" i="1"/>
  <c r="BB48" i="1"/>
  <c r="BB47" i="1"/>
  <c r="AN47" i="1"/>
  <c r="AN48" i="1"/>
  <c r="CP52" i="1"/>
  <c r="CP51" i="1"/>
  <c r="BP52" i="1"/>
  <c r="BP51" i="1"/>
  <c r="T53" i="1"/>
  <c r="T54" i="1"/>
  <c r="AJ48" i="1"/>
  <c r="AJ47" i="1"/>
  <c r="CL51" i="1"/>
  <c r="CL52" i="1"/>
  <c r="CA59" i="1"/>
  <c r="CA60" i="1"/>
  <c r="CS60" i="1"/>
  <c r="CS59" i="1"/>
  <c r="CX61" i="1"/>
  <c r="CX62" i="1"/>
  <c r="G53" i="1"/>
  <c r="G54" i="1"/>
  <c r="BC57" i="1"/>
  <c r="BC58" i="1"/>
  <c r="H64" i="1"/>
  <c r="H63" i="1"/>
  <c r="BC52" i="1"/>
  <c r="BC51" i="1"/>
  <c r="AZ57" i="1"/>
  <c r="AZ58" i="1"/>
  <c r="I49" i="1"/>
  <c r="I50" i="1"/>
  <c r="CY44" i="1"/>
  <c r="CY43" i="1"/>
  <c r="BD50" i="1"/>
  <c r="BD49" i="1"/>
  <c r="BG62" i="1"/>
  <c r="BG61" i="1"/>
  <c r="CJ45" i="1"/>
  <c r="CJ46" i="1"/>
  <c r="AO51" i="1"/>
  <c r="AO52" i="1"/>
  <c r="BS46" i="1"/>
  <c r="BS45" i="1"/>
  <c r="BE46" i="1"/>
  <c r="BE45" i="1"/>
  <c r="CC61" i="1"/>
  <c r="CC62" i="1"/>
  <c r="BU56" i="1"/>
  <c r="BU55" i="1"/>
  <c r="BY55" i="1"/>
  <c r="BY56" i="1"/>
  <c r="BK63" i="1"/>
  <c r="BK64" i="1"/>
  <c r="BR56" i="1"/>
  <c r="BR55" i="1"/>
  <c r="BG57" i="1"/>
  <c r="BG58" i="1"/>
  <c r="BZ45" i="1"/>
  <c r="BZ46" i="1"/>
  <c r="P54" i="1"/>
  <c r="P53" i="1"/>
  <c r="V47" i="1"/>
  <c r="V48" i="1"/>
  <c r="H47" i="1"/>
  <c r="H48" i="1"/>
  <c r="BJ52" i="1"/>
  <c r="BJ51" i="1"/>
  <c r="DA50" i="1"/>
  <c r="DA49" i="1"/>
  <c r="DA46" i="1"/>
  <c r="DA45" i="1"/>
  <c r="BF52" i="1"/>
  <c r="BF51" i="1"/>
  <c r="BX59" i="1"/>
  <c r="BX60" i="1"/>
  <c r="AI43" i="1"/>
  <c r="AI44" i="1"/>
  <c r="CF49" i="1"/>
  <c r="CF50" i="1"/>
  <c r="BR61" i="1"/>
  <c r="BR62" i="1"/>
  <c r="AW61" i="1"/>
  <c r="AW62" i="1"/>
  <c r="BU48" i="1"/>
  <c r="BU47" i="1"/>
  <c r="DA44" i="1"/>
  <c r="DA43" i="1"/>
  <c r="K56" i="1"/>
  <c r="K55" i="1"/>
  <c r="AW56" i="1"/>
  <c r="AW55" i="1"/>
  <c r="BY63" i="1"/>
  <c r="BY64" i="1"/>
  <c r="BN64" i="1"/>
  <c r="BN63" i="1"/>
  <c r="Z49" i="1"/>
  <c r="Z50" i="1"/>
  <c r="Z62" i="1"/>
  <c r="Z61" i="1"/>
  <c r="CJ65" i="1"/>
  <c r="CJ66" i="1"/>
  <c r="BX61" i="1"/>
  <c r="BX62" i="1"/>
  <c r="K49" i="1"/>
  <c r="K50" i="1"/>
  <c r="AC43" i="1"/>
  <c r="AC44" i="1"/>
  <c r="BD62" i="1"/>
  <c r="BD61" i="1"/>
  <c r="AK66" i="1"/>
  <c r="AK65" i="1"/>
  <c r="CC53" i="1"/>
  <c r="CC54" i="1"/>
  <c r="BX63" i="1"/>
  <c r="BX64" i="1"/>
  <c r="AJ49" i="1"/>
  <c r="AJ50" i="1"/>
  <c r="AJ57" i="1"/>
  <c r="AJ58" i="1"/>
  <c r="H65" i="1"/>
  <c r="H66" i="1"/>
  <c r="X58" i="1"/>
  <c r="X57" i="1"/>
  <c r="CI63" i="1"/>
  <c r="CI64" i="1"/>
  <c r="BJ48" i="1"/>
  <c r="BJ47" i="1"/>
  <c r="M49" i="1"/>
  <c r="M50" i="1"/>
  <c r="AU44" i="1"/>
  <c r="AU43" i="1"/>
  <c r="AV60" i="1"/>
  <c r="AV59" i="1"/>
  <c r="BF57" i="1"/>
  <c r="BF58" i="1"/>
  <c r="CO55" i="1"/>
  <c r="CO56" i="1"/>
  <c r="BS64" i="1"/>
  <c r="BS63" i="1"/>
  <c r="CU45" i="1"/>
  <c r="CU46" i="1"/>
  <c r="BB50" i="1"/>
  <c r="BB49" i="1"/>
  <c r="U60" i="1"/>
  <c r="U59" i="1"/>
  <c r="AT61" i="1"/>
  <c r="AT62" i="1"/>
  <c r="CV66" i="1"/>
  <c r="CV65" i="1"/>
  <c r="F61" i="1"/>
  <c r="F62" i="1"/>
  <c r="BZ65" i="1"/>
  <c r="BZ66" i="1"/>
  <c r="BL45" i="1"/>
  <c r="BL46" i="1"/>
  <c r="BZ61" i="1"/>
  <c r="BZ62" i="1"/>
  <c r="AT65" i="1"/>
  <c r="AT66" i="1"/>
  <c r="K60" i="1"/>
  <c r="K59" i="1"/>
  <c r="CJ58" i="1"/>
  <c r="CJ57" i="1"/>
  <c r="R66" i="1"/>
  <c r="R65" i="1"/>
  <c r="U45" i="1"/>
  <c r="U46" i="1"/>
  <c r="BO53" i="1"/>
  <c r="BO54" i="1"/>
  <c r="J46" i="1"/>
  <c r="J45" i="1"/>
  <c r="BW61" i="1"/>
  <c r="BW62" i="1"/>
  <c r="AW51" i="1"/>
  <c r="AW52" i="1"/>
  <c r="CG60" i="1"/>
  <c r="CG59" i="1"/>
  <c r="BK65" i="1"/>
  <c r="BK66" i="1"/>
  <c r="CA44" i="1"/>
  <c r="CA43" i="1"/>
  <c r="AR53" i="1"/>
  <c r="AR54" i="1"/>
  <c r="BP66" i="1"/>
  <c r="BP65" i="1"/>
  <c r="BG47" i="1"/>
  <c r="BG48" i="1"/>
  <c r="CV57" i="1"/>
  <c r="CV58" i="1"/>
  <c r="AF65" i="1"/>
  <c r="AF66" i="1"/>
  <c r="BT58" i="1"/>
  <c r="BT57" i="1"/>
  <c r="J66" i="1"/>
  <c r="J65" i="1"/>
  <c r="CP48" i="1"/>
  <c r="CP47" i="1"/>
  <c r="BY49" i="1"/>
  <c r="BY50" i="1"/>
  <c r="BK44" i="1"/>
  <c r="BK43" i="1"/>
  <c r="CB60" i="1"/>
  <c r="CB59" i="1"/>
  <c r="CX49" i="1"/>
  <c r="CX50" i="1"/>
  <c r="BA59" i="1"/>
  <c r="BA60" i="1"/>
  <c r="Q65" i="1"/>
  <c r="Q66" i="1"/>
  <c r="AV62" i="1"/>
  <c r="AV61" i="1"/>
  <c r="CX65" i="1"/>
  <c r="CX66" i="1"/>
  <c r="BB52" i="1"/>
  <c r="BB51" i="1"/>
  <c r="AY45" i="1"/>
  <c r="AY46" i="1"/>
  <c r="Q57" i="1"/>
  <c r="Q58" i="1"/>
  <c r="CQ52" i="1"/>
  <c r="CQ51" i="1"/>
  <c r="CO59" i="1"/>
  <c r="CO60" i="1"/>
  <c r="BS56" i="1"/>
  <c r="BS55" i="1"/>
  <c r="BF53" i="1"/>
  <c r="BF54" i="1"/>
  <c r="CY61" i="1"/>
  <c r="CY62" i="1"/>
  <c r="CQ48" i="1"/>
  <c r="CQ47" i="1"/>
  <c r="AS60" i="1"/>
  <c r="AS59" i="1"/>
  <c r="BO63" i="1"/>
  <c r="BO64" i="1"/>
  <c r="H62" i="1"/>
  <c r="H61" i="1"/>
  <c r="I64" i="1"/>
  <c r="I63" i="1"/>
  <c r="AD65" i="1"/>
  <c r="AD66" i="1"/>
  <c r="U55" i="1"/>
  <c r="U56" i="1"/>
  <c r="AI64" i="1"/>
  <c r="AI63" i="1"/>
  <c r="BM59" i="1"/>
  <c r="BM60" i="1"/>
  <c r="C69" i="1" l="1"/>
  <c r="C85" i="1"/>
  <c r="H78" i="1" s="1"/>
  <c r="H114" i="1" s="1"/>
  <c r="N114" i="1" s="1"/>
  <c r="C86" i="1"/>
  <c r="I78" i="1" s="1"/>
  <c r="I114" i="1" s="1"/>
  <c r="O114" i="1" s="1"/>
  <c r="C89" i="1"/>
  <c r="H79" i="1" s="1"/>
  <c r="H115" i="1" s="1"/>
  <c r="N115" i="1" s="1"/>
  <c r="D89" i="1"/>
  <c r="M79" i="1" s="1"/>
  <c r="C81" i="1"/>
  <c r="H76" i="1" s="1"/>
  <c r="H112" i="1" s="1"/>
  <c r="N112" i="1" s="1"/>
  <c r="D81" i="1"/>
  <c r="M76" i="1" s="1"/>
  <c r="C71" i="1"/>
  <c r="D71" i="1"/>
  <c r="M71" i="1" s="1"/>
  <c r="C84" i="1"/>
  <c r="D84" i="1"/>
  <c r="D74" i="1"/>
  <c r="N72" i="1" s="1"/>
  <c r="C74" i="1"/>
  <c r="I72" i="1" s="1"/>
  <c r="I108" i="1" s="1"/>
  <c r="O108" i="1" s="1"/>
  <c r="C90" i="1"/>
  <c r="I79" i="1" s="1"/>
  <c r="I115" i="1" s="1"/>
  <c r="O115" i="1" s="1"/>
  <c r="D90" i="1"/>
  <c r="N79" i="1" s="1"/>
  <c r="D91" i="1"/>
  <c r="M80" i="1" s="1"/>
  <c r="C91" i="1"/>
  <c r="H80" i="1" s="1"/>
  <c r="H116" i="1" s="1"/>
  <c r="N116" i="1" s="1"/>
  <c r="C70" i="1"/>
  <c r="D70" i="1"/>
  <c r="C76" i="1"/>
  <c r="I73" i="1" s="1"/>
  <c r="I109" i="1" s="1"/>
  <c r="O109" i="1" s="1"/>
  <c r="D76" i="1"/>
  <c r="N73" i="1" s="1"/>
  <c r="C92" i="1"/>
  <c r="I80" i="1" s="1"/>
  <c r="I116" i="1" s="1"/>
  <c r="O116" i="1" s="1"/>
  <c r="D92" i="1"/>
  <c r="N80" i="1" s="1"/>
  <c r="C83" i="1"/>
  <c r="D83" i="1"/>
  <c r="D86" i="1"/>
  <c r="N78" i="1" s="1"/>
  <c r="D79" i="1"/>
  <c r="M75" i="1" s="1"/>
  <c r="C79" i="1"/>
  <c r="H75" i="1" s="1"/>
  <c r="H111" i="1" s="1"/>
  <c r="N111" i="1" s="1"/>
  <c r="C77" i="1"/>
  <c r="D77" i="1"/>
  <c r="C87" i="1"/>
  <c r="D87" i="1"/>
  <c r="D85" i="1"/>
  <c r="M78" i="1" s="1"/>
  <c r="C73" i="1"/>
  <c r="H72" i="1" s="1"/>
  <c r="H108" i="1" s="1"/>
  <c r="N108" i="1" s="1"/>
  <c r="D73" i="1"/>
  <c r="M72" i="1" s="1"/>
  <c r="D69" i="1"/>
  <c r="C75" i="1"/>
  <c r="H73" i="1" s="1"/>
  <c r="H109" i="1" s="1"/>
  <c r="N109" i="1" s="1"/>
  <c r="D75" i="1"/>
  <c r="M73" i="1" s="1"/>
  <c r="C82" i="1"/>
  <c r="I76" i="1" s="1"/>
  <c r="I112" i="1" s="1"/>
  <c r="O112" i="1" s="1"/>
  <c r="D82" i="1"/>
  <c r="N76" i="1" s="1"/>
  <c r="C72" i="1"/>
  <c r="I71" i="1" s="1"/>
  <c r="I107" i="1" s="1"/>
  <c r="O107" i="1" s="1"/>
  <c r="D72" i="1"/>
  <c r="N71" i="1" s="1"/>
  <c r="C80" i="1"/>
  <c r="I75" i="1" s="1"/>
  <c r="I111" i="1" s="1"/>
  <c r="O111" i="1" s="1"/>
  <c r="D80" i="1"/>
  <c r="N75" i="1" s="1"/>
  <c r="C78" i="1"/>
  <c r="D78" i="1"/>
  <c r="C88" i="1"/>
  <c r="D88" i="1"/>
  <c r="M79" i="4"/>
  <c r="I72" i="4"/>
  <c r="N72" i="4"/>
  <c r="M72" i="4"/>
  <c r="I71" i="4"/>
  <c r="N78" i="4"/>
  <c r="H71" i="4"/>
  <c r="N79" i="4"/>
  <c r="M70" i="4"/>
  <c r="H75" i="4"/>
  <c r="I74" i="4"/>
  <c r="M71" i="4"/>
  <c r="H78" i="4"/>
  <c r="I70" i="4"/>
  <c r="I75" i="4"/>
  <c r="M74" i="4"/>
  <c r="H74" i="4"/>
  <c r="H72" i="4"/>
  <c r="I77" i="4"/>
  <c r="M77" i="4"/>
  <c r="N71" i="4"/>
  <c r="H70" i="4"/>
  <c r="I79" i="4"/>
  <c r="N74" i="4"/>
  <c r="H77" i="4"/>
  <c r="H79" i="4"/>
  <c r="N70" i="4"/>
  <c r="N77" i="4"/>
  <c r="I78" i="4"/>
  <c r="M78" i="4"/>
  <c r="M75" i="4"/>
  <c r="N75" i="4"/>
  <c r="H71" i="1" l="1"/>
  <c r="H107" i="1" s="1"/>
  <c r="N107" i="1" s="1"/>
  <c r="J77" i="1"/>
  <c r="H77" i="1" s="1"/>
  <c r="J70" i="1"/>
  <c r="H70" i="1" s="1"/>
  <c r="O70" i="1"/>
  <c r="O77" i="1"/>
  <c r="J74" i="1"/>
  <c r="J110" i="1" s="1"/>
  <c r="P110" i="1" s="1"/>
  <c r="O74" i="1"/>
  <c r="G84" i="1"/>
  <c r="I81" i="1" s="1"/>
  <c r="I117" i="1" s="1"/>
  <c r="O117" i="1" s="1"/>
  <c r="G83" i="1"/>
  <c r="G83" i="4"/>
  <c r="I80" i="4" s="1"/>
  <c r="O76" i="4"/>
  <c r="J69" i="4"/>
  <c r="H69" i="4" s="1"/>
  <c r="O73" i="4"/>
  <c r="O69" i="4"/>
  <c r="J73" i="4"/>
  <c r="H73" i="4" s="1"/>
  <c r="J76" i="4"/>
  <c r="H76" i="4" s="1"/>
  <c r="G82" i="4"/>
  <c r="H80" i="4" s="1"/>
  <c r="I77" i="1" l="1"/>
  <c r="I70" i="1"/>
  <c r="M81" i="1"/>
  <c r="N81" i="1"/>
  <c r="H81" i="1"/>
  <c r="H117" i="1" s="1"/>
  <c r="N117" i="1" s="1"/>
  <c r="G85" i="1"/>
  <c r="K81" i="1" s="1"/>
  <c r="H74" i="1"/>
  <c r="I74" i="1"/>
  <c r="J106" i="1"/>
  <c r="P106" i="1" s="1"/>
  <c r="J113" i="1"/>
  <c r="P113" i="1" s="1"/>
  <c r="N80" i="4"/>
  <c r="G84" i="4"/>
  <c r="B30" i="14" s="1"/>
  <c r="M80" i="4"/>
  <c r="I69" i="4"/>
  <c r="I73" i="4"/>
  <c r="I76" i="4"/>
  <c r="P81" i="1" l="1"/>
  <c r="I82" i="1"/>
  <c r="H82" i="1"/>
  <c r="P80" i="4"/>
  <c r="B29" i="14"/>
  <c r="K80" i="4"/>
  <c r="H81" i="4" s="1"/>
  <c r="K117" i="1"/>
  <c r="Q117" i="1" s="1"/>
  <c r="I81" i="4" l="1"/>
</calcChain>
</file>

<file path=xl/sharedStrings.xml><?xml version="1.0" encoding="utf-8"?>
<sst xmlns="http://schemas.openxmlformats.org/spreadsheetml/2006/main" count="5751" uniqueCount="152">
  <si>
    <t>Normal</t>
  </si>
  <si>
    <t>PelvisAngles</t>
  </si>
  <si>
    <t>deg</t>
  </si>
  <si>
    <t>HipAngles</t>
  </si>
  <si>
    <t>KneeAngles</t>
  </si>
  <si>
    <t>AnkleAngles</t>
  </si>
  <si>
    <t>FootProgressAngles</t>
  </si>
  <si>
    <t>LPelvisAngles</t>
  </si>
  <si>
    <t>RPelvisAngles</t>
  </si>
  <si>
    <t>LHipAngles</t>
  </si>
  <si>
    <t>RHipAngles</t>
  </si>
  <si>
    <t>LKneeAngles</t>
  </si>
  <si>
    <t>RKneeAngles</t>
  </si>
  <si>
    <t>LAnkleAngles</t>
  </si>
  <si>
    <t>RAnkleAngles</t>
  </si>
  <si>
    <t>LFootProgressAngles</t>
  </si>
  <si>
    <t>RFootProgressAngles</t>
  </si>
  <si>
    <t>RMS</t>
  </si>
  <si>
    <t>Average RMS</t>
  </si>
  <si>
    <t>Left GPS</t>
  </si>
  <si>
    <t>Right GPS</t>
  </si>
  <si>
    <t>Overall GPS</t>
  </si>
  <si>
    <t>Pelvic Tilt</t>
  </si>
  <si>
    <t>Pelvis</t>
  </si>
  <si>
    <t>Left</t>
  </si>
  <si>
    <t>Hip Flex</t>
  </si>
  <si>
    <t>Right</t>
  </si>
  <si>
    <t>Knee Flex</t>
  </si>
  <si>
    <t>Pelvic Obl</t>
  </si>
  <si>
    <t>Hip Abd</t>
  </si>
  <si>
    <t>Pelvc Rot</t>
  </si>
  <si>
    <t>Foot Abd</t>
  </si>
  <si>
    <t>Foot Prog</t>
  </si>
  <si>
    <t>AVERAGE</t>
  </si>
  <si>
    <t>Standard Deviation</t>
  </si>
  <si>
    <t>GPS</t>
  </si>
  <si>
    <t>Overall</t>
  </si>
  <si>
    <t>Hip Rot</t>
  </si>
  <si>
    <t>Knee Valg</t>
  </si>
  <si>
    <t>Ankle Dors</t>
  </si>
  <si>
    <t>1. In Polygon, click on "Global Kinematics" link to open example trials</t>
  </si>
  <si>
    <t>2. Remove average trace (right click - "Remove all traces" - select the average trace)</t>
  </si>
  <si>
    <t>3. Click on "graph view" - "ascii to clipboard" (or else CTRL K)</t>
  </si>
  <si>
    <t>For one visit with no comparisons:</t>
  </si>
  <si>
    <t>Comp Right</t>
  </si>
  <si>
    <t>Comp Left</t>
  </si>
  <si>
    <t>Comp Pelvis</t>
  </si>
  <si>
    <t>Comp Overall</t>
  </si>
  <si>
    <t>NB - if there is no example trial (ie data classified as variable) then do not do GPS caculation</t>
  </si>
  <si>
    <t>Author: JS</t>
  </si>
  <si>
    <t>Date: June 2011</t>
  </si>
  <si>
    <t>OGL_13-16Girls_v1.pxd</t>
  </si>
  <si>
    <t>PelvisAngles(Tilt)</t>
  </si>
  <si>
    <t>HipAngles(Flx/Ext)</t>
  </si>
  <si>
    <t>KneeAngles(Flx/Ext)</t>
  </si>
  <si>
    <t>AnkleAngles(Dorsi/Plantar)</t>
  </si>
  <si>
    <t>PelvisAngles(Obliquity)</t>
  </si>
  <si>
    <t>HipAngles(Ab/Add)</t>
  </si>
  <si>
    <t>KneeAngles(Valg/Var)</t>
  </si>
  <si>
    <t>PelvisAngles(Rotation)</t>
  </si>
  <si>
    <t>HipAngles(Rotation)</t>
  </si>
  <si>
    <t>KneeAngles(Rotation)</t>
  </si>
  <si>
    <t>AnkleAngles(Ab/Add)</t>
  </si>
  <si>
    <t>FootProgressAngles(Rotation)</t>
  </si>
  <si>
    <t>OGL_13-16Boys_v1.pxd</t>
  </si>
  <si>
    <t>OGL_10-12Girls_v1.pxd</t>
  </si>
  <si>
    <t>OGL_10-12Boys_v1.pxd</t>
  </si>
  <si>
    <t>OGL_8-9Children_v1.pxd</t>
  </si>
  <si>
    <t>OGL_5-7Children_v1.pxd</t>
  </si>
  <si>
    <t>SEX (M/F):</t>
  </si>
  <si>
    <t>AGE:</t>
  </si>
  <si>
    <t>Mean data for each group of normal subjects</t>
  </si>
  <si>
    <t>Normal group</t>
  </si>
  <si>
    <t>Code</t>
  </si>
  <si>
    <t>File</t>
  </si>
  <si>
    <t>Adult_Male_Oct08.pxd</t>
  </si>
  <si>
    <t>Adult_Female_Oct08.pxd</t>
  </si>
  <si>
    <t>Normal data set to use calculations</t>
  </si>
  <si>
    <t>age</t>
  </si>
  <si>
    <t>gender</t>
  </si>
  <si>
    <t>age group</t>
  </si>
  <si>
    <t>from 'current' sheet</t>
  </si>
  <si>
    <t>calculated</t>
  </si>
  <si>
    <t>Normal reference data to use</t>
  </si>
  <si>
    <t>ref data set to use:</t>
  </si>
  <si>
    <t>OGL_3-4Children_v1.pxd</t>
  </si>
  <si>
    <t>PelvicTilt</t>
  </si>
  <si>
    <t>LHipFlex</t>
  </si>
  <si>
    <t>RHipFlex</t>
  </si>
  <si>
    <t>LKneeFlex</t>
  </si>
  <si>
    <t>RKneeFlex</t>
  </si>
  <si>
    <t>LAnkleFlex</t>
  </si>
  <si>
    <t>RAnkleFlex</t>
  </si>
  <si>
    <t>LHipAbd</t>
  </si>
  <si>
    <t>RHipAbd</t>
  </si>
  <si>
    <t>LFootAbd</t>
  </si>
  <si>
    <t>RFootAdb</t>
  </si>
  <si>
    <t>LFootProg</t>
  </si>
  <si>
    <t>RFootProg</t>
  </si>
  <si>
    <t>L GPS</t>
  </si>
  <si>
    <t>R GPS</t>
  </si>
  <si>
    <t>mean</t>
  </si>
  <si>
    <t>stdev</t>
  </si>
  <si>
    <t>standard deviation</t>
  </si>
  <si>
    <t>Normal Values</t>
  </si>
  <si>
    <t>LKneeVal</t>
  </si>
  <si>
    <t>RKneeVal</t>
  </si>
  <si>
    <t>PelvicObl</t>
  </si>
  <si>
    <t>PelvicRot</t>
  </si>
  <si>
    <t>LThighRot</t>
  </si>
  <si>
    <t>RThighRot</t>
  </si>
  <si>
    <t>Normal GPS data for comparison</t>
  </si>
  <si>
    <t>Current-Normal</t>
  </si>
  <si>
    <t>not less than zero</t>
  </si>
  <si>
    <t>Pelvic Rot</t>
  </si>
  <si>
    <t>If the data goes off the scale</t>
  </si>
  <si>
    <t>4. R click over Y axis - format - axis - set maximum to same as main graph, set the major &amp; minor unit to this value too</t>
  </si>
  <si>
    <t>3. R click - chart options - axes - tick value (Y) axis</t>
  </si>
  <si>
    <t xml:space="preserve">2. R click on the graph - send to back (this brings the normal data back to the front) </t>
  </si>
  <si>
    <t>1. R click on the graph - send to back (this will bring the main graph to the front). R click over the Y axis - format axis - tick box to set maximum to auto - note this number</t>
  </si>
  <si>
    <t>5. R click on Y axis - clear</t>
  </si>
  <si>
    <t>6. Should now look good and have full data viewable</t>
  </si>
  <si>
    <r>
      <t xml:space="preserve">5. In the 'current; tab insert the patient's age &amp; gender in the yellow highlighted boxes. </t>
    </r>
    <r>
      <rPr>
        <b/>
        <sz val="10"/>
        <rFont val="Arial"/>
        <family val="2"/>
      </rPr>
      <t>THIS IS IMPORTANT</t>
    </r>
    <r>
      <rPr>
        <sz val="10"/>
        <rFont val="Arial"/>
        <family val="2"/>
      </rPr>
      <t xml:space="preserve"> as it uses this to select the correct data for comparison</t>
    </r>
  </si>
  <si>
    <t>This visit</t>
  </si>
  <si>
    <t>Comp</t>
  </si>
  <si>
    <t>* selects age group based on age (cell B3)*</t>
  </si>
  <si>
    <t>*selects reference data set to use (each data set given a number for later calculation)</t>
  </si>
  <si>
    <t xml:space="preserve">*chooses refernce data to use based on </t>
  </si>
  <si>
    <t>8. Import JPEG into PG report and hyperlink  to 'GPS' link</t>
  </si>
  <si>
    <t>Movement Analysis Profile  (comparison with AFOs)</t>
  </si>
  <si>
    <t>Movement Analysis Profile  (comparison with previous)</t>
  </si>
  <si>
    <t>Movement Analysis Profile  (comparison with pre-op)</t>
  </si>
  <si>
    <t>pre-op</t>
  </si>
  <si>
    <t>Graph Title Chosen:</t>
  </si>
  <si>
    <t>previous</t>
  </si>
  <si>
    <t>Paste Here</t>
  </si>
  <si>
    <t>To compare barefoot with AFOs, previous visit or pre-op visit</t>
  </si>
  <si>
    <t>1. Follow steps 1-4 in the instructions 'For one visit with no comparisons'</t>
  </si>
  <si>
    <t>4. Open 8.20 GPS Calculation - Right click "paste" into cell A17 on the "Current" tab (where it says "Paste Here" in the yellow highlighted cell)</t>
  </si>
  <si>
    <t>2. Open 8.20 GPS Calculation - Right click and "paste into cell A16 on the "Comp AFO prev" tab (where it says "Paste Here" in the yellow highlighted cell)</t>
  </si>
  <si>
    <t>6. Import JPEG into PG report and hyperlink  to 'GPS comp AFO/prev' link</t>
  </si>
  <si>
    <r>
      <t xml:space="preserve">Enter </t>
    </r>
    <r>
      <rPr>
        <b/>
        <sz val="10"/>
        <rFont val="Arial"/>
        <family val="2"/>
      </rPr>
      <t>AFO</t>
    </r>
    <r>
      <rPr>
        <sz val="10"/>
        <rFont val="Arial"/>
        <family val="2"/>
      </rPr>
      <t xml:space="preserve">, </t>
    </r>
    <r>
      <rPr>
        <b/>
        <sz val="10"/>
        <rFont val="Arial"/>
        <family val="2"/>
      </rPr>
      <t>previous</t>
    </r>
    <r>
      <rPr>
        <sz val="10"/>
        <rFont val="Arial"/>
        <family val="2"/>
      </rPr>
      <t xml:space="preserve">, or </t>
    </r>
    <r>
      <rPr>
        <b/>
        <sz val="10"/>
        <rFont val="Arial"/>
        <family val="2"/>
      </rPr>
      <t>pre-op</t>
    </r>
    <r>
      <rPr>
        <sz val="10"/>
        <rFont val="Arial"/>
        <family val="2"/>
      </rPr>
      <t xml:space="preserve"> to edit graph title</t>
    </r>
  </si>
  <si>
    <t>AFO</t>
  </si>
  <si>
    <r>
      <t xml:space="preserve">3. Edit the highlighted cell E14 by entering either </t>
    </r>
    <r>
      <rPr>
        <b/>
        <sz val="10"/>
        <rFont val="Arial"/>
        <family val="2"/>
      </rPr>
      <t xml:space="preserve">AFO </t>
    </r>
    <r>
      <rPr>
        <sz val="10"/>
        <rFont val="Arial"/>
        <family val="2"/>
      </rPr>
      <t xml:space="preserve">or </t>
    </r>
    <r>
      <rPr>
        <b/>
        <sz val="10"/>
        <rFont val="Arial"/>
        <family val="2"/>
      </rPr>
      <t>previous</t>
    </r>
    <r>
      <rPr>
        <sz val="10"/>
        <rFont val="Arial"/>
        <family val="2"/>
      </rPr>
      <t xml:space="preserve"> or </t>
    </r>
    <r>
      <rPr>
        <b/>
        <sz val="10"/>
        <rFont val="Arial"/>
        <family val="2"/>
      </rPr>
      <t xml:space="preserve">pre-op </t>
    </r>
    <r>
      <rPr>
        <sz val="10"/>
        <rFont val="Arial"/>
        <family val="2"/>
      </rPr>
      <t>to select the appropriate graph title</t>
    </r>
  </si>
  <si>
    <t>Last Checked: 06/2013 KP</t>
  </si>
  <si>
    <r>
      <t xml:space="preserve">6. Go to the "Current graph" tab.  Press the </t>
    </r>
    <r>
      <rPr>
        <i/>
        <sz val="10"/>
        <rFont val="Arial"/>
        <family val="2"/>
      </rPr>
      <t xml:space="preserve">Print Screen </t>
    </r>
    <r>
      <rPr>
        <sz val="10"/>
        <rFont val="Arial"/>
        <family val="2"/>
      </rPr>
      <t>keyboard key and paste into PowerPoint</t>
    </r>
  </si>
  <si>
    <t>7. Crop if needed, resize to 16cm width, right click on graph and 'save as picture'. Save as JPEG with name 'code GPS' in PG report folder</t>
  </si>
  <si>
    <t>4. Go to the "Comparison Graph" tab.  Press the Print Screen keyboard key and paste into PowerPoint</t>
  </si>
  <si>
    <t>5. Crop if needed, resize to 16cm width, right click on graph and 'save as picture'. Save as JPEG with name 'code GPS comp AFO/prev' in PG report folder</t>
  </si>
  <si>
    <t>Blank</t>
  </si>
  <si>
    <t>?</t>
  </si>
  <si>
    <t>Version: 6.1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</si>
</sst>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1" x14ac:knownFonts="1">
    <font>
      <sz val="10"/>
      <name val="Arial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sz val="10"/>
      <color rgb="FF000000"/>
      <name val="Verdana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i/>
      <sz val="9"/>
      <name val="Arial"/>
      <family val="2"/>
    </font>
    <font>
      <b/>
      <sz val="18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164" fontId="2" fillId="0" borderId="0" xfId="0" applyNumberFormat="1" applyFont="1"/>
    <xf numFmtId="0" fontId="2" fillId="0" borderId="1" xfId="0" applyFont="1" applyBorder="1"/>
    <xf numFmtId="164" fontId="0" fillId="0" borderId="2" xfId="0" applyNumberFormat="1" applyBorder="1"/>
    <xf numFmtId="0" fontId="2" fillId="0" borderId="3" xfId="0" applyFont="1" applyBorder="1"/>
    <xf numFmtId="164" fontId="0" fillId="0" borderId="4" xfId="0" applyNumberFormat="1" applyBorder="1"/>
    <xf numFmtId="0" fontId="2" fillId="0" borderId="5" xfId="0" applyFont="1" applyBorder="1"/>
    <xf numFmtId="164" fontId="0" fillId="0" borderId="6" xfId="0" applyNumberFormat="1" applyBorder="1"/>
    <xf numFmtId="0" fontId="1" fillId="0" borderId="7" xfId="0" applyFont="1" applyBorder="1"/>
    <xf numFmtId="0" fontId="0" fillId="0" borderId="7" xfId="0" applyBorder="1"/>
    <xf numFmtId="164" fontId="0" fillId="0" borderId="7" xfId="0" applyNumberFormat="1" applyBorder="1"/>
    <xf numFmtId="0" fontId="0" fillId="0" borderId="7" xfId="0" applyFill="1" applyBorder="1"/>
    <xf numFmtId="164" fontId="0" fillId="0" borderId="0" xfId="0" applyNumberFormat="1"/>
    <xf numFmtId="0" fontId="4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2" fillId="2" borderId="0" xfId="0" applyFont="1" applyFill="1"/>
    <xf numFmtId="0" fontId="0" fillId="0" borderId="0" xfId="0" applyFill="1"/>
    <xf numFmtId="0" fontId="1" fillId="0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0" xfId="0" applyFont="1" applyBorder="1"/>
    <xf numFmtId="0" fontId="3" fillId="0" borderId="0" xfId="0" applyFont="1" applyBorder="1"/>
    <xf numFmtId="164" fontId="0" fillId="0" borderId="0" xfId="0" applyNumberFormat="1" applyBorder="1"/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3" fillId="0" borderId="11" xfId="0" applyFont="1" applyBorder="1"/>
    <xf numFmtId="164" fontId="0" fillId="0" borderId="11" xfId="0" applyNumberFormat="1" applyBorder="1"/>
    <xf numFmtId="0" fontId="3" fillId="0" borderId="12" xfId="0" applyFont="1" applyBorder="1"/>
    <xf numFmtId="164" fontId="0" fillId="0" borderId="12" xfId="0" applyNumberFormat="1" applyBorder="1"/>
    <xf numFmtId="164" fontId="3" fillId="0" borderId="11" xfId="0" applyNumberFormat="1" applyFont="1" applyBorder="1"/>
    <xf numFmtId="164" fontId="3" fillId="0" borderId="12" xfId="0" applyNumberFormat="1" applyFont="1" applyBorder="1"/>
    <xf numFmtId="0" fontId="0" fillId="0" borderId="13" xfId="0" applyFill="1" applyBorder="1"/>
    <xf numFmtId="0" fontId="5" fillId="0" borderId="0" xfId="0" applyFont="1"/>
    <xf numFmtId="164" fontId="3" fillId="0" borderId="0" xfId="0" applyNumberFormat="1" applyFont="1"/>
    <xf numFmtId="0" fontId="0" fillId="3" borderId="0" xfId="0" applyFill="1"/>
    <xf numFmtId="0" fontId="6" fillId="0" borderId="0" xfId="0" applyFont="1"/>
    <xf numFmtId="0" fontId="7" fillId="0" borderId="0" xfId="0" applyFont="1" applyAlignment="1">
      <alignment horizontal="left" vertical="center" readingOrder="1"/>
    </xf>
    <xf numFmtId="0" fontId="3" fillId="4" borderId="0" xfId="0" applyFont="1" applyFill="1"/>
    <xf numFmtId="0" fontId="8" fillId="0" borderId="0" xfId="0" applyFont="1" applyAlignment="1">
      <alignment horizontal="left" vertical="center" readingOrder="1"/>
    </xf>
    <xf numFmtId="164" fontId="9" fillId="0" borderId="0" xfId="0" applyNumberFormat="1" applyFont="1"/>
    <xf numFmtId="2" fontId="6" fillId="0" borderId="0" xfId="0" applyNumberFormat="1" applyFont="1"/>
    <xf numFmtId="0" fontId="0" fillId="3" borderId="0" xfId="0" applyFill="1" applyBorder="1" applyAlignment="1">
      <alignment horizontal="left" vertical="center"/>
    </xf>
    <xf numFmtId="0" fontId="0" fillId="3" borderId="0" xfId="0" applyFill="1" applyBorder="1"/>
    <xf numFmtId="0" fontId="0" fillId="3" borderId="0" xfId="0" applyFill="1" applyAlignment="1"/>
    <xf numFmtId="0" fontId="1" fillId="2" borderId="0" xfId="0" applyFont="1" applyFill="1" applyBorder="1"/>
    <xf numFmtId="0" fontId="1" fillId="0" borderId="0" xfId="0" applyFont="1" applyAlignment="1">
      <alignment horizontal="left"/>
    </xf>
    <xf numFmtId="0" fontId="10" fillId="3" borderId="0" xfId="0" applyFont="1" applyFill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Movement Analysis Profile - Example Trials</a:t>
            </a:r>
          </a:p>
        </c:rich>
      </c:tx>
      <c:layout>
        <c:manualLayout>
          <c:xMode val="edge"/>
          <c:yMode val="edge"/>
          <c:x val="0.11357340720221606"/>
          <c:y val="1.97530864197530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27700831024945E-2"/>
          <c:y val="0.10123481200523729"/>
          <c:w val="0.80055401662049896"/>
          <c:h val="0.66172999066838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Current!$H$69</c:f>
              <c:strCache>
                <c:ptCount val="1"/>
                <c:pt idx="0">
                  <c:v>Right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Current!$G$89:$G$101</c:f>
              <c:strCache>
                <c:ptCount val="13"/>
                <c:pt idx="0">
                  <c:v>Pelvic Tilt</c:v>
                </c:pt>
                <c:pt idx="1">
                  <c:v>Hip Flex</c:v>
                </c:pt>
                <c:pt idx="2">
                  <c:v>Knee Flex</c:v>
                </c:pt>
                <c:pt idx="3">
                  <c:v>Ankle Dors</c:v>
                </c:pt>
                <c:pt idx="4">
                  <c:v>Pelvic Obl</c:v>
                </c:pt>
                <c:pt idx="5">
                  <c:v>Hip Abd</c:v>
                </c:pt>
                <c:pt idx="6">
                  <c:v>Knee Valg</c:v>
                </c:pt>
                <c:pt idx="7">
                  <c:v>Pelvc Rot</c:v>
                </c:pt>
                <c:pt idx="8">
                  <c:v>Hip Rot</c:v>
                </c:pt>
                <c:pt idx="9">
                  <c:v>Foot Abd</c:v>
                </c:pt>
                <c:pt idx="10">
                  <c:v>Foot Prog</c:v>
                </c:pt>
                <c:pt idx="11">
                  <c:v>GPS</c:v>
                </c:pt>
                <c:pt idx="12">
                  <c:v>Overall GPS</c:v>
                </c:pt>
              </c:strCache>
            </c:strRef>
          </c:cat>
          <c:val>
            <c:numRef>
              <c:f>Current!$H$70:$H$82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strRef>
              <c:f>Current!$I$69</c:f>
              <c:strCache>
                <c:ptCount val="1"/>
                <c:pt idx="0">
                  <c:v>Left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12"/>
              <c:layout>
                <c:manualLayout>
                  <c:x val="8.2083887713481768E-2"/>
                  <c:y val="-2.097803000476656E-2"/>
                </c:manualLayout>
              </c:layout>
              <c:spPr>
                <a:noFill/>
                <a:ln w="12700">
                  <a:solidFill>
                    <a:srgbClr val="000000"/>
                  </a:solidFill>
                  <a:prstDash val="solid"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Current!$G$89:$G$101</c:f>
              <c:strCache>
                <c:ptCount val="13"/>
                <c:pt idx="0">
                  <c:v>Pelvic Tilt</c:v>
                </c:pt>
                <c:pt idx="1">
                  <c:v>Hip Flex</c:v>
                </c:pt>
                <c:pt idx="2">
                  <c:v>Knee Flex</c:v>
                </c:pt>
                <c:pt idx="3">
                  <c:v>Ankle Dors</c:v>
                </c:pt>
                <c:pt idx="4">
                  <c:v>Pelvic Obl</c:v>
                </c:pt>
                <c:pt idx="5">
                  <c:v>Hip Abd</c:v>
                </c:pt>
                <c:pt idx="6">
                  <c:v>Knee Valg</c:v>
                </c:pt>
                <c:pt idx="7">
                  <c:v>Pelvc Rot</c:v>
                </c:pt>
                <c:pt idx="8">
                  <c:v>Hip Rot</c:v>
                </c:pt>
                <c:pt idx="9">
                  <c:v>Foot Abd</c:v>
                </c:pt>
                <c:pt idx="10">
                  <c:v>Foot Prog</c:v>
                </c:pt>
                <c:pt idx="11">
                  <c:v>GPS</c:v>
                </c:pt>
                <c:pt idx="12">
                  <c:v>Overall GPS</c:v>
                </c:pt>
              </c:strCache>
            </c:strRef>
          </c:cat>
          <c:val>
            <c:numRef>
              <c:f>Current!$I$70:$I$82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44206080"/>
        <c:axId val="144224256"/>
      </c:barChart>
      <c:catAx>
        <c:axId val="14420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224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4224256"/>
        <c:scaling>
          <c:orientation val="minMax"/>
          <c:max val="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RMS difference (deg)</a:t>
                </a:r>
              </a:p>
            </c:rich>
          </c:tx>
          <c:layout>
            <c:manualLayout>
              <c:xMode val="edge"/>
              <c:yMode val="edge"/>
              <c:x val="6.9252077562326911E-3"/>
              <c:y val="0.24197582709568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2060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238227146814439"/>
          <c:y val="1.9753086419753096E-2"/>
          <c:w val="0.13711911357340717"/>
          <c:h val="7.90126049058683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520174890018469E-2"/>
          <c:y val="0.10098534312623053"/>
          <c:w val="0.79944782947547888"/>
          <c:h val="0.66256237319404876"/>
        </c:manualLayout>
      </c:layout>
      <c:barChart>
        <c:barDir val="col"/>
        <c:grouping val="stacked"/>
        <c:varyColors val="0"/>
        <c:ser>
          <c:idx val="4"/>
          <c:order val="0"/>
          <c:tx>
            <c:v>Normal</c:v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errBars>
            <c:errBarType val="both"/>
            <c:errValType val="cust"/>
            <c:noEndCap val="0"/>
            <c:plus>
              <c:numRef>
                <c:f>Current!$P$89:$P$101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</c:numCache>
              </c:numRef>
            </c:plus>
            <c:minus>
              <c:numRef>
                <c:f>Current!$P$89:$P$101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</c:numCache>
              </c:numRef>
            </c:minus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cat>
            <c:strRef>
              <c:f>Current!$G$89:$G$101</c:f>
              <c:strCache>
                <c:ptCount val="13"/>
                <c:pt idx="0">
                  <c:v>Pelvic Tilt</c:v>
                </c:pt>
                <c:pt idx="1">
                  <c:v>Hip Flex</c:v>
                </c:pt>
                <c:pt idx="2">
                  <c:v>Knee Flex</c:v>
                </c:pt>
                <c:pt idx="3">
                  <c:v>Ankle Dors</c:v>
                </c:pt>
                <c:pt idx="4">
                  <c:v>Pelvic Obl</c:v>
                </c:pt>
                <c:pt idx="5">
                  <c:v>Hip Abd</c:v>
                </c:pt>
                <c:pt idx="6">
                  <c:v>Knee Valg</c:v>
                </c:pt>
                <c:pt idx="7">
                  <c:v>Pelvc Rot</c:v>
                </c:pt>
                <c:pt idx="8">
                  <c:v>Hip Rot</c:v>
                </c:pt>
                <c:pt idx="9">
                  <c:v>Foot Abd</c:v>
                </c:pt>
                <c:pt idx="10">
                  <c:v>Foot Prog</c:v>
                </c:pt>
                <c:pt idx="11">
                  <c:v>GPS</c:v>
                </c:pt>
                <c:pt idx="12">
                  <c:v>Overall GPS</c:v>
                </c:pt>
              </c:strCache>
            </c:strRef>
          </c:cat>
          <c:val>
            <c:numRef>
              <c:f>Current!$K$89:$K$101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45429248"/>
        <c:axId val="145430784"/>
      </c:barChart>
      <c:catAx>
        <c:axId val="145429248"/>
        <c:scaling>
          <c:orientation val="minMax"/>
        </c:scaling>
        <c:delete val="1"/>
        <c:axPos val="b"/>
        <c:majorTickMark val="out"/>
        <c:minorTickMark val="none"/>
        <c:tickLblPos val="none"/>
        <c:crossAx val="145430784"/>
        <c:crossesAt val="0"/>
        <c:auto val="1"/>
        <c:lblAlgn val="ctr"/>
        <c:lblOffset val="100"/>
        <c:noMultiLvlLbl val="0"/>
      </c:catAx>
      <c:valAx>
        <c:axId val="145430784"/>
        <c:scaling>
          <c:orientation val="minMax"/>
          <c:max val="35"/>
          <c:min val="0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one"/>
        <c:crossAx val="145429248"/>
        <c:crosses val="autoZero"/>
        <c:crossBetween val="between"/>
        <c:majorUnit val="35"/>
        <c:minorUnit val="3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62655688785789743"/>
          <c:y val="2.4630541871921201E-2"/>
          <c:w val="9.1286452264006474E-2"/>
          <c:h val="5.665024630541870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473214285714149E-2"/>
          <c:y val="0.1042780748663102"/>
          <c:w val="0.73995535714285743"/>
          <c:h val="0.71657754010695129"/>
        </c:manualLayout>
      </c:layout>
      <c:barChart>
        <c:barDir val="col"/>
        <c:grouping val="clustered"/>
        <c:varyColors val="0"/>
        <c:ser>
          <c:idx val="2"/>
          <c:order val="0"/>
          <c:tx>
            <c:v>This Left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Current!$G$70:$G$82</c:f>
              <c:strCache>
                <c:ptCount val="13"/>
                <c:pt idx="0">
                  <c:v>Pelvic Tilt</c:v>
                </c:pt>
                <c:pt idx="1">
                  <c:v>Hip Flex</c:v>
                </c:pt>
                <c:pt idx="2">
                  <c:v>Knee Flex</c:v>
                </c:pt>
                <c:pt idx="3">
                  <c:v>Ankle Dors</c:v>
                </c:pt>
                <c:pt idx="4">
                  <c:v>Pelvic Obl</c:v>
                </c:pt>
                <c:pt idx="5">
                  <c:v>Hip Abd</c:v>
                </c:pt>
                <c:pt idx="6">
                  <c:v>Knee Valg</c:v>
                </c:pt>
                <c:pt idx="7">
                  <c:v>Pelvic Rot</c:v>
                </c:pt>
                <c:pt idx="8">
                  <c:v>Hip Rot</c:v>
                </c:pt>
                <c:pt idx="9">
                  <c:v>Foot Abd</c:v>
                </c:pt>
                <c:pt idx="10">
                  <c:v>Foot Prog</c:v>
                </c:pt>
                <c:pt idx="11">
                  <c:v>GPS</c:v>
                </c:pt>
                <c:pt idx="12">
                  <c:v>Overall GPS</c:v>
                </c:pt>
              </c:strCache>
            </c:strRef>
          </c:cat>
          <c:val>
            <c:numRef>
              <c:f>Current!$I$70:$I$82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0"/>
          <c:order val="1"/>
          <c:tx>
            <c:v>This Right</c:v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Current!$G$70:$G$82</c:f>
              <c:strCache>
                <c:ptCount val="13"/>
                <c:pt idx="0">
                  <c:v>Pelvic Tilt</c:v>
                </c:pt>
                <c:pt idx="1">
                  <c:v>Hip Flex</c:v>
                </c:pt>
                <c:pt idx="2">
                  <c:v>Knee Flex</c:v>
                </c:pt>
                <c:pt idx="3">
                  <c:v>Ankle Dors</c:v>
                </c:pt>
                <c:pt idx="4">
                  <c:v>Pelvic Obl</c:v>
                </c:pt>
                <c:pt idx="5">
                  <c:v>Hip Abd</c:v>
                </c:pt>
                <c:pt idx="6">
                  <c:v>Knee Valg</c:v>
                </c:pt>
                <c:pt idx="7">
                  <c:v>Pelvic Rot</c:v>
                </c:pt>
                <c:pt idx="8">
                  <c:v>Hip Rot</c:v>
                </c:pt>
                <c:pt idx="9">
                  <c:v>Foot Abd</c:v>
                </c:pt>
                <c:pt idx="10">
                  <c:v>Foot Prog</c:v>
                </c:pt>
                <c:pt idx="11">
                  <c:v>GPS</c:v>
                </c:pt>
                <c:pt idx="12">
                  <c:v>Overall GPS</c:v>
                </c:pt>
              </c:strCache>
            </c:strRef>
          </c:cat>
          <c:val>
            <c:numRef>
              <c:f>Current!$H$70:$H$82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3"/>
          <c:order val="2"/>
          <c:tx>
            <c:strRef>
              <c:f>Comparison!$I$68</c:f>
              <c:strCache>
                <c:ptCount val="1"/>
                <c:pt idx="0">
                  <c:v>Comp Left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Current!$G$70:$G$82</c:f>
              <c:strCache>
                <c:ptCount val="13"/>
                <c:pt idx="0">
                  <c:v>Pelvic Tilt</c:v>
                </c:pt>
                <c:pt idx="1">
                  <c:v>Hip Flex</c:v>
                </c:pt>
                <c:pt idx="2">
                  <c:v>Knee Flex</c:v>
                </c:pt>
                <c:pt idx="3">
                  <c:v>Ankle Dors</c:v>
                </c:pt>
                <c:pt idx="4">
                  <c:v>Pelvic Obl</c:v>
                </c:pt>
                <c:pt idx="5">
                  <c:v>Hip Abd</c:v>
                </c:pt>
                <c:pt idx="6">
                  <c:v>Knee Valg</c:v>
                </c:pt>
                <c:pt idx="7">
                  <c:v>Pelvic Rot</c:v>
                </c:pt>
                <c:pt idx="8">
                  <c:v>Hip Rot</c:v>
                </c:pt>
                <c:pt idx="9">
                  <c:v>Foot Abd</c:v>
                </c:pt>
                <c:pt idx="10">
                  <c:v>Foot Prog</c:v>
                </c:pt>
                <c:pt idx="11">
                  <c:v>GPS</c:v>
                </c:pt>
                <c:pt idx="12">
                  <c:v>Overall GPS</c:v>
                </c:pt>
              </c:strCache>
            </c:strRef>
          </c:cat>
          <c:val>
            <c:numRef>
              <c:f>Comparison!$I$69:$I$81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3"/>
          <c:tx>
            <c:strRef>
              <c:f>Comparison!$H$68</c:f>
              <c:strCache>
                <c:ptCount val="1"/>
                <c:pt idx="0">
                  <c:v>Comp Right</c:v>
                </c:pt>
              </c:strCache>
            </c:strRef>
          </c:tx>
          <c:spPr>
            <a:pattFill prst="wdDnDiag">
              <a:fgClr>
                <a:srgbClr val="0000FF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Current!$G$70:$G$82</c:f>
              <c:strCache>
                <c:ptCount val="13"/>
                <c:pt idx="0">
                  <c:v>Pelvic Tilt</c:v>
                </c:pt>
                <c:pt idx="1">
                  <c:v>Hip Flex</c:v>
                </c:pt>
                <c:pt idx="2">
                  <c:v>Knee Flex</c:v>
                </c:pt>
                <c:pt idx="3">
                  <c:v>Ankle Dors</c:v>
                </c:pt>
                <c:pt idx="4">
                  <c:v>Pelvic Obl</c:v>
                </c:pt>
                <c:pt idx="5">
                  <c:v>Hip Abd</c:v>
                </c:pt>
                <c:pt idx="6">
                  <c:v>Knee Valg</c:v>
                </c:pt>
                <c:pt idx="7">
                  <c:v>Pelvic Rot</c:v>
                </c:pt>
                <c:pt idx="8">
                  <c:v>Hip Rot</c:v>
                </c:pt>
                <c:pt idx="9">
                  <c:v>Foot Abd</c:v>
                </c:pt>
                <c:pt idx="10">
                  <c:v>Foot Prog</c:v>
                </c:pt>
                <c:pt idx="11">
                  <c:v>GPS</c:v>
                </c:pt>
                <c:pt idx="12">
                  <c:v>Overall GPS</c:v>
                </c:pt>
              </c:strCache>
            </c:strRef>
          </c:cat>
          <c:val>
            <c:numRef>
              <c:f>Comparison!$H$69:$H$81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525376"/>
        <c:axId val="145527168"/>
      </c:barChart>
      <c:catAx>
        <c:axId val="14552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527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5527168"/>
        <c:scaling>
          <c:orientation val="minMax"/>
          <c:max val="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RMS difference (deg)</a:t>
                </a:r>
              </a:p>
            </c:rich>
          </c:tx>
          <c:layout>
            <c:manualLayout>
              <c:xMode val="edge"/>
              <c:yMode val="edge"/>
              <c:x val="5.5803571428571465E-3"/>
              <c:y val="0.2540106951871660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52537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589285714285743"/>
          <c:y val="0.1042780748663102"/>
          <c:w val="0.16852678571428548"/>
          <c:h val="0.71925133689839593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Comparison!$H$91</c:f>
          <c:strCache>
            <c:ptCount val="1"/>
            <c:pt idx="0">
              <c:v>#N/A</c:v>
            </c:pt>
          </c:strCache>
        </c:strRef>
      </c:tx>
      <c:layout>
        <c:manualLayout>
          <c:xMode val="edge"/>
          <c:yMode val="edge"/>
          <c:x val="0.24526233551909687"/>
          <c:y val="3.20000000000000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382474331184562E-2"/>
          <c:y val="0.10666694444516792"/>
          <c:w val="0.7391312394736359"/>
          <c:h val="0.71466852778262446"/>
        </c:manualLayout>
      </c:layout>
      <c:barChart>
        <c:barDir val="col"/>
        <c:grouping val="stacked"/>
        <c:varyColors val="0"/>
        <c:ser>
          <c:idx val="4"/>
          <c:order val="0"/>
          <c:tx>
            <c:v>Normal</c:v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errBars>
            <c:errBarType val="both"/>
            <c:errValType val="cust"/>
            <c:noEndCap val="0"/>
            <c:plus>
              <c:numRef>
                <c:f>Current!$P$89:$P$101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</c:numCache>
              </c:numRef>
            </c:plus>
            <c:minus>
              <c:numRef>
                <c:f>Current!$P$89:$P$101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</c:numCache>
              </c:numRef>
            </c:minus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cat>
            <c:strRef>
              <c:f>Current!$G$89:$G$101</c:f>
              <c:strCache>
                <c:ptCount val="13"/>
                <c:pt idx="0">
                  <c:v>Pelvic Tilt</c:v>
                </c:pt>
                <c:pt idx="1">
                  <c:v>Hip Flex</c:v>
                </c:pt>
                <c:pt idx="2">
                  <c:v>Knee Flex</c:v>
                </c:pt>
                <c:pt idx="3">
                  <c:v>Ankle Dors</c:v>
                </c:pt>
                <c:pt idx="4">
                  <c:v>Pelvic Obl</c:v>
                </c:pt>
                <c:pt idx="5">
                  <c:v>Hip Abd</c:v>
                </c:pt>
                <c:pt idx="6">
                  <c:v>Knee Valg</c:v>
                </c:pt>
                <c:pt idx="7">
                  <c:v>Pelvc Rot</c:v>
                </c:pt>
                <c:pt idx="8">
                  <c:v>Hip Rot</c:v>
                </c:pt>
                <c:pt idx="9">
                  <c:v>Foot Abd</c:v>
                </c:pt>
                <c:pt idx="10">
                  <c:v>Foot Prog</c:v>
                </c:pt>
                <c:pt idx="11">
                  <c:v>GPS</c:v>
                </c:pt>
                <c:pt idx="12">
                  <c:v>Overall GPS</c:v>
                </c:pt>
              </c:strCache>
            </c:strRef>
          </c:cat>
          <c:val>
            <c:numRef>
              <c:f>Current!$K$89:$K$101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45552128"/>
        <c:axId val="145553664"/>
      </c:barChart>
      <c:catAx>
        <c:axId val="145552128"/>
        <c:scaling>
          <c:orientation val="minMax"/>
        </c:scaling>
        <c:delete val="1"/>
        <c:axPos val="b"/>
        <c:majorTickMark val="out"/>
        <c:minorTickMark val="none"/>
        <c:tickLblPos val="none"/>
        <c:crossAx val="145553664"/>
        <c:crossesAt val="0"/>
        <c:auto val="1"/>
        <c:lblAlgn val="ctr"/>
        <c:lblOffset val="100"/>
        <c:noMultiLvlLbl val="0"/>
      </c:catAx>
      <c:valAx>
        <c:axId val="145553664"/>
        <c:scaling>
          <c:orientation val="minMax"/>
          <c:max val="35"/>
          <c:min val="0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one"/>
        <c:crossAx val="145552128"/>
        <c:crosses val="autoZero"/>
        <c:crossBetween val="between"/>
        <c:majorUnit val="35"/>
        <c:minorUnit val="3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08789285954665"/>
          <c:y val="1.3333333333333341E-2"/>
          <c:w val="0.16833914155379398"/>
          <c:h val="6.40002799650044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</xdr:row>
      <xdr:rowOff>19050</xdr:rowOff>
    </xdr:from>
    <xdr:to>
      <xdr:col>12</xdr:col>
      <xdr:colOff>190500</xdr:colOff>
      <xdr:row>25</xdr:row>
      <xdr:rowOff>152400</xdr:rowOff>
    </xdr:to>
    <xdr:graphicFrame macro="">
      <xdr:nvGraphicFramePr>
        <xdr:cNvPr id="1024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</xdr:row>
      <xdr:rowOff>19050</xdr:rowOff>
    </xdr:from>
    <xdr:to>
      <xdr:col>12</xdr:col>
      <xdr:colOff>200025</xdr:colOff>
      <xdr:row>26</xdr:row>
      <xdr:rowOff>0</xdr:rowOff>
    </xdr:to>
    <xdr:graphicFrame macro="">
      <xdr:nvGraphicFramePr>
        <xdr:cNvPr id="1024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14</xdr:col>
      <xdr:colOff>285750</xdr:colOff>
      <xdr:row>23</xdr:row>
      <xdr:rowOff>152400</xdr:rowOff>
    </xdr:to>
    <xdr:graphicFrame macro="">
      <xdr:nvGraphicFramePr>
        <xdr:cNvPr id="1229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276225</xdr:colOff>
      <xdr:row>1</xdr:row>
      <xdr:rowOff>142875</xdr:rowOff>
    </xdr:from>
    <xdr:to>
      <xdr:col>14</xdr:col>
      <xdr:colOff>285750</xdr:colOff>
      <xdr:row>23</xdr:row>
      <xdr:rowOff>152400</xdr:rowOff>
    </xdr:to>
    <xdr:graphicFrame macro="">
      <xdr:nvGraphicFramePr>
        <xdr:cNvPr id="1229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0.86291</cdr:x>
      <cdr:y>0.2659</cdr:y>
    </cdr:from>
    <cdr:to>
      <cdr:x>0.93213</cdr:x>
      <cdr:y>0.34012</cdr:y>
    </cdr:to>
    <cdr:sp macro="" textlink="' Comparison Graph'!$B$29">
      <cdr:nvSpPr>
        <cdr:cNvPr id="18435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7384059" y="955456"/>
          <a:ext cx="592074" cy="2658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solidFill>
            <a:srgbClr val="000000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9DCACFE9-D0C7-4769-8A1F-EA7D6BC30079}" type="TxLink">
            <a:rPr lang="en-GB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#VALUE!</a:t>
          </a:fld>
          <a:endParaRPr lang="en-GB"/>
        </a:p>
      </cdr:txBody>
    </cdr:sp>
  </cdr:relSizeAnchor>
  <cdr:relSizeAnchor xmlns:cdr="http://schemas.openxmlformats.org/drawingml/2006/chartDrawing">
    <cdr:from>
      <cdr:x>0.86291</cdr:x>
      <cdr:y>0.59807</cdr:y>
    </cdr:from>
    <cdr:to>
      <cdr:x>0.93213</cdr:x>
      <cdr:y>0.67229</cdr:y>
    </cdr:to>
    <cdr:sp macro="" textlink="' Comparison Graph'!$B$30">
      <cdr:nvSpPr>
        <cdr:cNvPr id="18436" name="Text Box 4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7384059" y="2145105"/>
          <a:ext cx="592074" cy="2658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solidFill>
            <a:srgbClr val="000000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4EF8272-D646-4B8E-82E8-BEBF2C4BF6F7}" type="TxLink">
            <a:rPr lang="en-GB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#VALUE!</a:t>
          </a:fld>
          <a:endParaRPr lang="en-GB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C117"/>
  <sheetViews>
    <sheetView tabSelected="1" topLeftCell="A31" workbookViewId="0">
      <selection activeCell="C69" sqref="C69"/>
    </sheetView>
  </sheetViews>
  <sheetFormatPr defaultRowHeight="13.2" x14ac:dyDescent="0.25"/>
  <cols>
    <col min="1" max="1" width="13" customWidth="1"/>
    <col min="2" max="2" width="20.109375" customWidth="1"/>
    <col min="3" max="3" width="6.44140625" customWidth="1"/>
    <col min="4" max="4" width="7.5546875" style="2" customWidth="1"/>
    <col min="5" max="6" width="11.44140625" customWidth="1"/>
    <col min="7" max="7" width="9.88671875" customWidth="1"/>
    <col min="11" max="11" width="9.33203125" customWidth="1"/>
    <col min="13" max="13" width="11.44140625" customWidth="1"/>
  </cols>
  <sheetData>
    <row r="1" spans="1:105" x14ac:dyDescent="0.25">
      <c r="A1" t="s">
        <v>0</v>
      </c>
      <c r="B1" t="s">
        <v>1</v>
      </c>
      <c r="C1">
        <v>20</v>
      </c>
      <c r="D1" s="3" t="s">
        <v>2</v>
      </c>
      <c r="E1" t="e">
        <f>'Normal gait variables'!F20</f>
        <v>#VALUE!</v>
      </c>
      <c r="F1" t="e">
        <f>'Normal gait variables'!G20</f>
        <v>#VALUE!</v>
      </c>
      <c r="G1" t="e">
        <f>'Normal gait variables'!H20</f>
        <v>#VALUE!</v>
      </c>
      <c r="H1" t="e">
        <f>'Normal gait variables'!I20</f>
        <v>#VALUE!</v>
      </c>
      <c r="I1" t="e">
        <f>'Normal gait variables'!J20</f>
        <v>#VALUE!</v>
      </c>
      <c r="J1" t="e">
        <f>'Normal gait variables'!K20</f>
        <v>#VALUE!</v>
      </c>
      <c r="K1" t="e">
        <f>'Normal gait variables'!L20</f>
        <v>#VALUE!</v>
      </c>
      <c r="L1" t="e">
        <f>'Normal gait variables'!M20</f>
        <v>#VALUE!</v>
      </c>
      <c r="M1" t="e">
        <f>'Normal gait variables'!N20</f>
        <v>#VALUE!</v>
      </c>
      <c r="N1" t="e">
        <f>'Normal gait variables'!O20</f>
        <v>#VALUE!</v>
      </c>
      <c r="O1" t="e">
        <f>'Normal gait variables'!P20</f>
        <v>#VALUE!</v>
      </c>
      <c r="P1" t="e">
        <f>'Normal gait variables'!Q20</f>
        <v>#VALUE!</v>
      </c>
      <c r="Q1" t="e">
        <f>'Normal gait variables'!R20</f>
        <v>#VALUE!</v>
      </c>
      <c r="R1" t="e">
        <f>'Normal gait variables'!S20</f>
        <v>#VALUE!</v>
      </c>
      <c r="S1" t="e">
        <f>'Normal gait variables'!T20</f>
        <v>#VALUE!</v>
      </c>
      <c r="T1" t="e">
        <f>'Normal gait variables'!U20</f>
        <v>#VALUE!</v>
      </c>
      <c r="U1" t="e">
        <f>'Normal gait variables'!V20</f>
        <v>#VALUE!</v>
      </c>
      <c r="V1" t="e">
        <f>'Normal gait variables'!W20</f>
        <v>#VALUE!</v>
      </c>
      <c r="W1" t="e">
        <f>'Normal gait variables'!X20</f>
        <v>#VALUE!</v>
      </c>
      <c r="X1" t="e">
        <f>'Normal gait variables'!Y20</f>
        <v>#VALUE!</v>
      </c>
      <c r="Y1" t="e">
        <f>'Normal gait variables'!Z20</f>
        <v>#VALUE!</v>
      </c>
      <c r="Z1" t="e">
        <f>'Normal gait variables'!AA20</f>
        <v>#VALUE!</v>
      </c>
      <c r="AA1" t="e">
        <f>'Normal gait variables'!AB20</f>
        <v>#VALUE!</v>
      </c>
      <c r="AB1" t="e">
        <f>'Normal gait variables'!AC20</f>
        <v>#VALUE!</v>
      </c>
      <c r="AC1" t="e">
        <f>'Normal gait variables'!AD20</f>
        <v>#VALUE!</v>
      </c>
      <c r="AD1" t="e">
        <f>'Normal gait variables'!AE20</f>
        <v>#VALUE!</v>
      </c>
      <c r="AE1" t="e">
        <f>'Normal gait variables'!AF20</f>
        <v>#VALUE!</v>
      </c>
      <c r="AF1" t="e">
        <f>'Normal gait variables'!AG20</f>
        <v>#VALUE!</v>
      </c>
      <c r="AG1" t="e">
        <f>'Normal gait variables'!AH20</f>
        <v>#VALUE!</v>
      </c>
      <c r="AH1" t="e">
        <f>'Normal gait variables'!AI20</f>
        <v>#VALUE!</v>
      </c>
      <c r="AI1" t="e">
        <f>'Normal gait variables'!AJ20</f>
        <v>#VALUE!</v>
      </c>
      <c r="AJ1" t="e">
        <f>'Normal gait variables'!AK20</f>
        <v>#VALUE!</v>
      </c>
      <c r="AK1" t="e">
        <f>'Normal gait variables'!AL20</f>
        <v>#VALUE!</v>
      </c>
      <c r="AL1" t="e">
        <f>'Normal gait variables'!AM20</f>
        <v>#VALUE!</v>
      </c>
      <c r="AM1" t="e">
        <f>'Normal gait variables'!AN20</f>
        <v>#VALUE!</v>
      </c>
      <c r="AN1" t="e">
        <f>'Normal gait variables'!AO20</f>
        <v>#VALUE!</v>
      </c>
      <c r="AO1" t="e">
        <f>'Normal gait variables'!AP20</f>
        <v>#VALUE!</v>
      </c>
      <c r="AP1" t="e">
        <f>'Normal gait variables'!AQ20</f>
        <v>#VALUE!</v>
      </c>
      <c r="AQ1" t="e">
        <f>'Normal gait variables'!AR20</f>
        <v>#VALUE!</v>
      </c>
      <c r="AR1" t="e">
        <f>'Normal gait variables'!AS20</f>
        <v>#VALUE!</v>
      </c>
      <c r="AS1" t="e">
        <f>'Normal gait variables'!AT20</f>
        <v>#VALUE!</v>
      </c>
      <c r="AT1" t="e">
        <f>'Normal gait variables'!AU20</f>
        <v>#VALUE!</v>
      </c>
      <c r="AU1" t="e">
        <f>'Normal gait variables'!AV20</f>
        <v>#VALUE!</v>
      </c>
      <c r="AV1" t="e">
        <f>'Normal gait variables'!AW20</f>
        <v>#VALUE!</v>
      </c>
      <c r="AW1" t="e">
        <f>'Normal gait variables'!AX20</f>
        <v>#VALUE!</v>
      </c>
      <c r="AX1" t="e">
        <f>'Normal gait variables'!AY20</f>
        <v>#VALUE!</v>
      </c>
      <c r="AY1" t="e">
        <f>'Normal gait variables'!AZ20</f>
        <v>#VALUE!</v>
      </c>
      <c r="AZ1" t="e">
        <f>'Normal gait variables'!BA20</f>
        <v>#VALUE!</v>
      </c>
      <c r="BA1" t="e">
        <f>'Normal gait variables'!BB20</f>
        <v>#VALUE!</v>
      </c>
      <c r="BB1" t="e">
        <f>'Normal gait variables'!BC20</f>
        <v>#VALUE!</v>
      </c>
      <c r="BC1" t="e">
        <f>'Normal gait variables'!BD20</f>
        <v>#VALUE!</v>
      </c>
      <c r="BD1" t="e">
        <f>'Normal gait variables'!BE20</f>
        <v>#VALUE!</v>
      </c>
      <c r="BE1" t="e">
        <f>'Normal gait variables'!BF20</f>
        <v>#VALUE!</v>
      </c>
      <c r="BF1" t="e">
        <f>'Normal gait variables'!BG20</f>
        <v>#VALUE!</v>
      </c>
      <c r="BG1" t="e">
        <f>'Normal gait variables'!BH20</f>
        <v>#VALUE!</v>
      </c>
      <c r="BH1" t="e">
        <f>'Normal gait variables'!BI20</f>
        <v>#VALUE!</v>
      </c>
      <c r="BI1" t="e">
        <f>'Normal gait variables'!BJ20</f>
        <v>#VALUE!</v>
      </c>
      <c r="BJ1" t="e">
        <f>'Normal gait variables'!BK20</f>
        <v>#VALUE!</v>
      </c>
      <c r="BK1" t="e">
        <f>'Normal gait variables'!BL20</f>
        <v>#VALUE!</v>
      </c>
      <c r="BL1" t="e">
        <f>'Normal gait variables'!BM20</f>
        <v>#VALUE!</v>
      </c>
      <c r="BM1" t="e">
        <f>'Normal gait variables'!BN20</f>
        <v>#VALUE!</v>
      </c>
      <c r="BN1" t="e">
        <f>'Normal gait variables'!BO20</f>
        <v>#VALUE!</v>
      </c>
      <c r="BO1" t="e">
        <f>'Normal gait variables'!BP20</f>
        <v>#VALUE!</v>
      </c>
      <c r="BP1" t="e">
        <f>'Normal gait variables'!BQ20</f>
        <v>#VALUE!</v>
      </c>
      <c r="BQ1" t="e">
        <f>'Normal gait variables'!BR20</f>
        <v>#VALUE!</v>
      </c>
      <c r="BR1" t="e">
        <f>'Normal gait variables'!BS20</f>
        <v>#VALUE!</v>
      </c>
      <c r="BS1" t="e">
        <f>'Normal gait variables'!BT20</f>
        <v>#VALUE!</v>
      </c>
      <c r="BT1" t="e">
        <f>'Normal gait variables'!BU20</f>
        <v>#VALUE!</v>
      </c>
      <c r="BU1" t="e">
        <f>'Normal gait variables'!BV20</f>
        <v>#VALUE!</v>
      </c>
      <c r="BV1" t="e">
        <f>'Normal gait variables'!BW20</f>
        <v>#VALUE!</v>
      </c>
      <c r="BW1" t="e">
        <f>'Normal gait variables'!BX20</f>
        <v>#VALUE!</v>
      </c>
      <c r="BX1" t="e">
        <f>'Normal gait variables'!BY20</f>
        <v>#VALUE!</v>
      </c>
      <c r="BY1" t="e">
        <f>'Normal gait variables'!BZ20</f>
        <v>#VALUE!</v>
      </c>
      <c r="BZ1" t="e">
        <f>'Normal gait variables'!CA20</f>
        <v>#VALUE!</v>
      </c>
      <c r="CA1" t="e">
        <f>'Normal gait variables'!CB20</f>
        <v>#VALUE!</v>
      </c>
      <c r="CB1" t="e">
        <f>'Normal gait variables'!CC20</f>
        <v>#VALUE!</v>
      </c>
      <c r="CC1" t="e">
        <f>'Normal gait variables'!CD20</f>
        <v>#VALUE!</v>
      </c>
      <c r="CD1" t="e">
        <f>'Normal gait variables'!CE20</f>
        <v>#VALUE!</v>
      </c>
      <c r="CE1" t="e">
        <f>'Normal gait variables'!CF20</f>
        <v>#VALUE!</v>
      </c>
      <c r="CF1" t="e">
        <f>'Normal gait variables'!CG20</f>
        <v>#VALUE!</v>
      </c>
      <c r="CG1" t="e">
        <f>'Normal gait variables'!CH20</f>
        <v>#VALUE!</v>
      </c>
      <c r="CH1" t="e">
        <f>'Normal gait variables'!CI20</f>
        <v>#VALUE!</v>
      </c>
      <c r="CI1" t="e">
        <f>'Normal gait variables'!CJ20</f>
        <v>#VALUE!</v>
      </c>
      <c r="CJ1" t="e">
        <f>'Normal gait variables'!CK20</f>
        <v>#VALUE!</v>
      </c>
      <c r="CK1" t="e">
        <f>'Normal gait variables'!CL20</f>
        <v>#VALUE!</v>
      </c>
      <c r="CL1" t="e">
        <f>'Normal gait variables'!CM20</f>
        <v>#VALUE!</v>
      </c>
      <c r="CM1" t="e">
        <f>'Normal gait variables'!CN20</f>
        <v>#VALUE!</v>
      </c>
      <c r="CN1" t="e">
        <f>'Normal gait variables'!CO20</f>
        <v>#VALUE!</v>
      </c>
      <c r="CO1" t="e">
        <f>'Normal gait variables'!CP20</f>
        <v>#VALUE!</v>
      </c>
      <c r="CP1" t="e">
        <f>'Normal gait variables'!CQ20</f>
        <v>#VALUE!</v>
      </c>
      <c r="CQ1" t="e">
        <f>'Normal gait variables'!CR20</f>
        <v>#VALUE!</v>
      </c>
      <c r="CR1" t="e">
        <f>'Normal gait variables'!CS20</f>
        <v>#VALUE!</v>
      </c>
      <c r="CS1" t="e">
        <f>'Normal gait variables'!CT20</f>
        <v>#VALUE!</v>
      </c>
      <c r="CT1" t="e">
        <f>'Normal gait variables'!CU20</f>
        <v>#VALUE!</v>
      </c>
      <c r="CU1" t="e">
        <f>'Normal gait variables'!CV20</f>
        <v>#VALUE!</v>
      </c>
      <c r="CV1" t="e">
        <f>'Normal gait variables'!CW20</f>
        <v>#VALUE!</v>
      </c>
      <c r="CW1" t="e">
        <f>'Normal gait variables'!CX20</f>
        <v>#VALUE!</v>
      </c>
      <c r="CX1" t="e">
        <f>'Normal gait variables'!CY20</f>
        <v>#VALUE!</v>
      </c>
      <c r="CY1" t="e">
        <f>'Normal gait variables'!CZ20</f>
        <v>#VALUE!</v>
      </c>
      <c r="CZ1" t="e">
        <f>'Normal gait variables'!DA20</f>
        <v>#VALUE!</v>
      </c>
      <c r="DA1" t="e">
        <f>'Normal gait variables'!DB20</f>
        <v>#VALUE!</v>
      </c>
    </row>
    <row r="2" spans="1:105" x14ac:dyDescent="0.25">
      <c r="A2" t="s">
        <v>0</v>
      </c>
      <c r="B2" t="s">
        <v>3</v>
      </c>
      <c r="C2">
        <v>20</v>
      </c>
      <c r="D2" s="3" t="s">
        <v>2</v>
      </c>
      <c r="E2" t="e">
        <f>'Normal gait variables'!F21</f>
        <v>#VALUE!</v>
      </c>
      <c r="F2" t="e">
        <f>'Normal gait variables'!G21</f>
        <v>#VALUE!</v>
      </c>
      <c r="G2" t="e">
        <f>'Normal gait variables'!H21</f>
        <v>#VALUE!</v>
      </c>
      <c r="H2" t="e">
        <f>'Normal gait variables'!I21</f>
        <v>#VALUE!</v>
      </c>
      <c r="I2" t="e">
        <f>'Normal gait variables'!J21</f>
        <v>#VALUE!</v>
      </c>
      <c r="J2" t="e">
        <f>'Normal gait variables'!K21</f>
        <v>#VALUE!</v>
      </c>
      <c r="K2" t="e">
        <f>'Normal gait variables'!L21</f>
        <v>#VALUE!</v>
      </c>
      <c r="L2" t="e">
        <f>'Normal gait variables'!M21</f>
        <v>#VALUE!</v>
      </c>
      <c r="M2" t="e">
        <f>'Normal gait variables'!N21</f>
        <v>#VALUE!</v>
      </c>
      <c r="N2" t="e">
        <f>'Normal gait variables'!O21</f>
        <v>#VALUE!</v>
      </c>
      <c r="O2" t="e">
        <f>'Normal gait variables'!P21</f>
        <v>#VALUE!</v>
      </c>
      <c r="P2" t="e">
        <f>'Normal gait variables'!Q21</f>
        <v>#VALUE!</v>
      </c>
      <c r="Q2" t="e">
        <f>'Normal gait variables'!R21</f>
        <v>#VALUE!</v>
      </c>
      <c r="R2" t="e">
        <f>'Normal gait variables'!S21</f>
        <v>#VALUE!</v>
      </c>
      <c r="S2" t="e">
        <f>'Normal gait variables'!T21</f>
        <v>#VALUE!</v>
      </c>
      <c r="T2" t="e">
        <f>'Normal gait variables'!U21</f>
        <v>#VALUE!</v>
      </c>
      <c r="U2" t="e">
        <f>'Normal gait variables'!V21</f>
        <v>#VALUE!</v>
      </c>
      <c r="V2" t="e">
        <f>'Normal gait variables'!W21</f>
        <v>#VALUE!</v>
      </c>
      <c r="W2" t="e">
        <f>'Normal gait variables'!X21</f>
        <v>#VALUE!</v>
      </c>
      <c r="X2" t="e">
        <f>'Normal gait variables'!Y21</f>
        <v>#VALUE!</v>
      </c>
      <c r="Y2" t="e">
        <f>'Normal gait variables'!Z21</f>
        <v>#VALUE!</v>
      </c>
      <c r="Z2" t="e">
        <f>'Normal gait variables'!AA21</f>
        <v>#VALUE!</v>
      </c>
      <c r="AA2" t="e">
        <f>'Normal gait variables'!AB21</f>
        <v>#VALUE!</v>
      </c>
      <c r="AB2" t="e">
        <f>'Normal gait variables'!AC21</f>
        <v>#VALUE!</v>
      </c>
      <c r="AC2" t="e">
        <f>'Normal gait variables'!AD21</f>
        <v>#VALUE!</v>
      </c>
      <c r="AD2" t="e">
        <f>'Normal gait variables'!AE21</f>
        <v>#VALUE!</v>
      </c>
      <c r="AE2" t="e">
        <f>'Normal gait variables'!AF21</f>
        <v>#VALUE!</v>
      </c>
      <c r="AF2" t="e">
        <f>'Normal gait variables'!AG21</f>
        <v>#VALUE!</v>
      </c>
      <c r="AG2" t="e">
        <f>'Normal gait variables'!AH21</f>
        <v>#VALUE!</v>
      </c>
      <c r="AH2" t="e">
        <f>'Normal gait variables'!AI21</f>
        <v>#VALUE!</v>
      </c>
      <c r="AI2" t="e">
        <f>'Normal gait variables'!AJ21</f>
        <v>#VALUE!</v>
      </c>
      <c r="AJ2" t="e">
        <f>'Normal gait variables'!AK21</f>
        <v>#VALUE!</v>
      </c>
      <c r="AK2" t="e">
        <f>'Normal gait variables'!AL21</f>
        <v>#VALUE!</v>
      </c>
      <c r="AL2" t="e">
        <f>'Normal gait variables'!AM21</f>
        <v>#VALUE!</v>
      </c>
      <c r="AM2" t="e">
        <f>'Normal gait variables'!AN21</f>
        <v>#VALUE!</v>
      </c>
      <c r="AN2" t="e">
        <f>'Normal gait variables'!AO21</f>
        <v>#VALUE!</v>
      </c>
      <c r="AO2" t="e">
        <f>'Normal gait variables'!AP21</f>
        <v>#VALUE!</v>
      </c>
      <c r="AP2" t="e">
        <f>'Normal gait variables'!AQ21</f>
        <v>#VALUE!</v>
      </c>
      <c r="AQ2" t="e">
        <f>'Normal gait variables'!AR21</f>
        <v>#VALUE!</v>
      </c>
      <c r="AR2" t="e">
        <f>'Normal gait variables'!AS21</f>
        <v>#VALUE!</v>
      </c>
      <c r="AS2" t="e">
        <f>'Normal gait variables'!AT21</f>
        <v>#VALUE!</v>
      </c>
      <c r="AT2" t="e">
        <f>'Normal gait variables'!AU21</f>
        <v>#VALUE!</v>
      </c>
      <c r="AU2" t="e">
        <f>'Normal gait variables'!AV21</f>
        <v>#VALUE!</v>
      </c>
      <c r="AV2" t="e">
        <f>'Normal gait variables'!AW21</f>
        <v>#VALUE!</v>
      </c>
      <c r="AW2" t="e">
        <f>'Normal gait variables'!AX21</f>
        <v>#VALUE!</v>
      </c>
      <c r="AX2" t="e">
        <f>'Normal gait variables'!AY21</f>
        <v>#VALUE!</v>
      </c>
      <c r="AY2" t="e">
        <f>'Normal gait variables'!AZ21</f>
        <v>#VALUE!</v>
      </c>
      <c r="AZ2" t="e">
        <f>'Normal gait variables'!BA21</f>
        <v>#VALUE!</v>
      </c>
      <c r="BA2" t="e">
        <f>'Normal gait variables'!BB21</f>
        <v>#VALUE!</v>
      </c>
      <c r="BB2" t="e">
        <f>'Normal gait variables'!BC21</f>
        <v>#VALUE!</v>
      </c>
      <c r="BC2" t="e">
        <f>'Normal gait variables'!BD21</f>
        <v>#VALUE!</v>
      </c>
      <c r="BD2" t="e">
        <f>'Normal gait variables'!BE21</f>
        <v>#VALUE!</v>
      </c>
      <c r="BE2" t="e">
        <f>'Normal gait variables'!BF21</f>
        <v>#VALUE!</v>
      </c>
      <c r="BF2" t="e">
        <f>'Normal gait variables'!BG21</f>
        <v>#VALUE!</v>
      </c>
      <c r="BG2" t="e">
        <f>'Normal gait variables'!BH21</f>
        <v>#VALUE!</v>
      </c>
      <c r="BH2" t="e">
        <f>'Normal gait variables'!BI21</f>
        <v>#VALUE!</v>
      </c>
      <c r="BI2" t="e">
        <f>'Normal gait variables'!BJ21</f>
        <v>#VALUE!</v>
      </c>
      <c r="BJ2" t="e">
        <f>'Normal gait variables'!BK21</f>
        <v>#VALUE!</v>
      </c>
      <c r="BK2" t="e">
        <f>'Normal gait variables'!BL21</f>
        <v>#VALUE!</v>
      </c>
      <c r="BL2" t="e">
        <f>'Normal gait variables'!BM21</f>
        <v>#VALUE!</v>
      </c>
      <c r="BM2" t="e">
        <f>'Normal gait variables'!BN21</f>
        <v>#VALUE!</v>
      </c>
      <c r="BN2" t="e">
        <f>'Normal gait variables'!BO21</f>
        <v>#VALUE!</v>
      </c>
      <c r="BO2" t="e">
        <f>'Normal gait variables'!BP21</f>
        <v>#VALUE!</v>
      </c>
      <c r="BP2" t="e">
        <f>'Normal gait variables'!BQ21</f>
        <v>#VALUE!</v>
      </c>
      <c r="BQ2" t="e">
        <f>'Normal gait variables'!BR21</f>
        <v>#VALUE!</v>
      </c>
      <c r="BR2" t="e">
        <f>'Normal gait variables'!BS21</f>
        <v>#VALUE!</v>
      </c>
      <c r="BS2" t="e">
        <f>'Normal gait variables'!BT21</f>
        <v>#VALUE!</v>
      </c>
      <c r="BT2" t="e">
        <f>'Normal gait variables'!BU21</f>
        <v>#VALUE!</v>
      </c>
      <c r="BU2" t="e">
        <f>'Normal gait variables'!BV21</f>
        <v>#VALUE!</v>
      </c>
      <c r="BV2" t="e">
        <f>'Normal gait variables'!BW21</f>
        <v>#VALUE!</v>
      </c>
      <c r="BW2" t="e">
        <f>'Normal gait variables'!BX21</f>
        <v>#VALUE!</v>
      </c>
      <c r="BX2" t="e">
        <f>'Normal gait variables'!BY21</f>
        <v>#VALUE!</v>
      </c>
      <c r="BY2" t="e">
        <f>'Normal gait variables'!BZ21</f>
        <v>#VALUE!</v>
      </c>
      <c r="BZ2" t="e">
        <f>'Normal gait variables'!CA21</f>
        <v>#VALUE!</v>
      </c>
      <c r="CA2" t="e">
        <f>'Normal gait variables'!CB21</f>
        <v>#VALUE!</v>
      </c>
      <c r="CB2" t="e">
        <f>'Normal gait variables'!CC21</f>
        <v>#VALUE!</v>
      </c>
      <c r="CC2" t="e">
        <f>'Normal gait variables'!CD21</f>
        <v>#VALUE!</v>
      </c>
      <c r="CD2" t="e">
        <f>'Normal gait variables'!CE21</f>
        <v>#VALUE!</v>
      </c>
      <c r="CE2" t="e">
        <f>'Normal gait variables'!CF21</f>
        <v>#VALUE!</v>
      </c>
      <c r="CF2" t="e">
        <f>'Normal gait variables'!CG21</f>
        <v>#VALUE!</v>
      </c>
      <c r="CG2" t="e">
        <f>'Normal gait variables'!CH21</f>
        <v>#VALUE!</v>
      </c>
      <c r="CH2" t="e">
        <f>'Normal gait variables'!CI21</f>
        <v>#VALUE!</v>
      </c>
      <c r="CI2" t="e">
        <f>'Normal gait variables'!CJ21</f>
        <v>#VALUE!</v>
      </c>
      <c r="CJ2" t="e">
        <f>'Normal gait variables'!CK21</f>
        <v>#VALUE!</v>
      </c>
      <c r="CK2" t="e">
        <f>'Normal gait variables'!CL21</f>
        <v>#VALUE!</v>
      </c>
      <c r="CL2" t="e">
        <f>'Normal gait variables'!CM21</f>
        <v>#VALUE!</v>
      </c>
      <c r="CM2" t="e">
        <f>'Normal gait variables'!CN21</f>
        <v>#VALUE!</v>
      </c>
      <c r="CN2" t="e">
        <f>'Normal gait variables'!CO21</f>
        <v>#VALUE!</v>
      </c>
      <c r="CO2" t="e">
        <f>'Normal gait variables'!CP21</f>
        <v>#VALUE!</v>
      </c>
      <c r="CP2" t="e">
        <f>'Normal gait variables'!CQ21</f>
        <v>#VALUE!</v>
      </c>
      <c r="CQ2" t="e">
        <f>'Normal gait variables'!CR21</f>
        <v>#VALUE!</v>
      </c>
      <c r="CR2" t="e">
        <f>'Normal gait variables'!CS21</f>
        <v>#VALUE!</v>
      </c>
      <c r="CS2" t="e">
        <f>'Normal gait variables'!CT21</f>
        <v>#VALUE!</v>
      </c>
      <c r="CT2" t="e">
        <f>'Normal gait variables'!CU21</f>
        <v>#VALUE!</v>
      </c>
      <c r="CU2" t="e">
        <f>'Normal gait variables'!CV21</f>
        <v>#VALUE!</v>
      </c>
      <c r="CV2" t="e">
        <f>'Normal gait variables'!CW21</f>
        <v>#VALUE!</v>
      </c>
      <c r="CW2" t="e">
        <f>'Normal gait variables'!CX21</f>
        <v>#VALUE!</v>
      </c>
      <c r="CX2" t="e">
        <f>'Normal gait variables'!CY21</f>
        <v>#VALUE!</v>
      </c>
      <c r="CY2" t="e">
        <f>'Normal gait variables'!CZ21</f>
        <v>#VALUE!</v>
      </c>
      <c r="CZ2" t="e">
        <f>'Normal gait variables'!DA21</f>
        <v>#VALUE!</v>
      </c>
      <c r="DA2" t="e">
        <f>'Normal gait variables'!DB21</f>
        <v>#VALUE!</v>
      </c>
    </row>
    <row r="3" spans="1:105" x14ac:dyDescent="0.25">
      <c r="A3" t="s">
        <v>0</v>
      </c>
      <c r="B3" t="s">
        <v>4</v>
      </c>
      <c r="C3">
        <v>20</v>
      </c>
      <c r="D3" s="3" t="s">
        <v>2</v>
      </c>
      <c r="E3" t="e">
        <f>'Normal gait variables'!F22</f>
        <v>#VALUE!</v>
      </c>
      <c r="F3" t="e">
        <f>'Normal gait variables'!G22</f>
        <v>#VALUE!</v>
      </c>
      <c r="G3" t="e">
        <f>'Normal gait variables'!H22</f>
        <v>#VALUE!</v>
      </c>
      <c r="H3" t="e">
        <f>'Normal gait variables'!I22</f>
        <v>#VALUE!</v>
      </c>
      <c r="I3" t="e">
        <f>'Normal gait variables'!J22</f>
        <v>#VALUE!</v>
      </c>
      <c r="J3" t="e">
        <f>'Normal gait variables'!K22</f>
        <v>#VALUE!</v>
      </c>
      <c r="K3" t="e">
        <f>'Normal gait variables'!L22</f>
        <v>#VALUE!</v>
      </c>
      <c r="L3" t="e">
        <f>'Normal gait variables'!M22</f>
        <v>#VALUE!</v>
      </c>
      <c r="M3" t="e">
        <f>'Normal gait variables'!N22</f>
        <v>#VALUE!</v>
      </c>
      <c r="N3" t="e">
        <f>'Normal gait variables'!O22</f>
        <v>#VALUE!</v>
      </c>
      <c r="O3" t="e">
        <f>'Normal gait variables'!P22</f>
        <v>#VALUE!</v>
      </c>
      <c r="P3" t="e">
        <f>'Normal gait variables'!Q22</f>
        <v>#VALUE!</v>
      </c>
      <c r="Q3" t="e">
        <f>'Normal gait variables'!R22</f>
        <v>#VALUE!</v>
      </c>
      <c r="R3" t="e">
        <f>'Normal gait variables'!S22</f>
        <v>#VALUE!</v>
      </c>
      <c r="S3" t="e">
        <f>'Normal gait variables'!T22</f>
        <v>#VALUE!</v>
      </c>
      <c r="T3" t="e">
        <f>'Normal gait variables'!U22</f>
        <v>#VALUE!</v>
      </c>
      <c r="U3" t="e">
        <f>'Normal gait variables'!V22</f>
        <v>#VALUE!</v>
      </c>
      <c r="V3" t="e">
        <f>'Normal gait variables'!W22</f>
        <v>#VALUE!</v>
      </c>
      <c r="W3" t="e">
        <f>'Normal gait variables'!X22</f>
        <v>#VALUE!</v>
      </c>
      <c r="X3" t="e">
        <f>'Normal gait variables'!Y22</f>
        <v>#VALUE!</v>
      </c>
      <c r="Y3" t="e">
        <f>'Normal gait variables'!Z22</f>
        <v>#VALUE!</v>
      </c>
      <c r="Z3" t="e">
        <f>'Normal gait variables'!AA22</f>
        <v>#VALUE!</v>
      </c>
      <c r="AA3" t="e">
        <f>'Normal gait variables'!AB22</f>
        <v>#VALUE!</v>
      </c>
      <c r="AB3" t="e">
        <f>'Normal gait variables'!AC22</f>
        <v>#VALUE!</v>
      </c>
      <c r="AC3" t="e">
        <f>'Normal gait variables'!AD22</f>
        <v>#VALUE!</v>
      </c>
      <c r="AD3" t="e">
        <f>'Normal gait variables'!AE22</f>
        <v>#VALUE!</v>
      </c>
      <c r="AE3" t="e">
        <f>'Normal gait variables'!AF22</f>
        <v>#VALUE!</v>
      </c>
      <c r="AF3" t="e">
        <f>'Normal gait variables'!AG22</f>
        <v>#VALUE!</v>
      </c>
      <c r="AG3" t="e">
        <f>'Normal gait variables'!AH22</f>
        <v>#VALUE!</v>
      </c>
      <c r="AH3" t="e">
        <f>'Normal gait variables'!AI22</f>
        <v>#VALUE!</v>
      </c>
      <c r="AI3" t="e">
        <f>'Normal gait variables'!AJ22</f>
        <v>#VALUE!</v>
      </c>
      <c r="AJ3" t="e">
        <f>'Normal gait variables'!AK22</f>
        <v>#VALUE!</v>
      </c>
      <c r="AK3" t="e">
        <f>'Normal gait variables'!AL22</f>
        <v>#VALUE!</v>
      </c>
      <c r="AL3" t="e">
        <f>'Normal gait variables'!AM22</f>
        <v>#VALUE!</v>
      </c>
      <c r="AM3" t="e">
        <f>'Normal gait variables'!AN22</f>
        <v>#VALUE!</v>
      </c>
      <c r="AN3" t="e">
        <f>'Normal gait variables'!AO22</f>
        <v>#VALUE!</v>
      </c>
      <c r="AO3" t="e">
        <f>'Normal gait variables'!AP22</f>
        <v>#VALUE!</v>
      </c>
      <c r="AP3" t="e">
        <f>'Normal gait variables'!AQ22</f>
        <v>#VALUE!</v>
      </c>
      <c r="AQ3" t="e">
        <f>'Normal gait variables'!AR22</f>
        <v>#VALUE!</v>
      </c>
      <c r="AR3" t="e">
        <f>'Normal gait variables'!AS22</f>
        <v>#VALUE!</v>
      </c>
      <c r="AS3" t="e">
        <f>'Normal gait variables'!AT22</f>
        <v>#VALUE!</v>
      </c>
      <c r="AT3" t="e">
        <f>'Normal gait variables'!AU22</f>
        <v>#VALUE!</v>
      </c>
      <c r="AU3" t="e">
        <f>'Normal gait variables'!AV22</f>
        <v>#VALUE!</v>
      </c>
      <c r="AV3" t="e">
        <f>'Normal gait variables'!AW22</f>
        <v>#VALUE!</v>
      </c>
      <c r="AW3" t="e">
        <f>'Normal gait variables'!AX22</f>
        <v>#VALUE!</v>
      </c>
      <c r="AX3" t="e">
        <f>'Normal gait variables'!AY22</f>
        <v>#VALUE!</v>
      </c>
      <c r="AY3" t="e">
        <f>'Normal gait variables'!AZ22</f>
        <v>#VALUE!</v>
      </c>
      <c r="AZ3" t="e">
        <f>'Normal gait variables'!BA22</f>
        <v>#VALUE!</v>
      </c>
      <c r="BA3" t="e">
        <f>'Normal gait variables'!BB22</f>
        <v>#VALUE!</v>
      </c>
      <c r="BB3" t="e">
        <f>'Normal gait variables'!BC22</f>
        <v>#VALUE!</v>
      </c>
      <c r="BC3" t="e">
        <f>'Normal gait variables'!BD22</f>
        <v>#VALUE!</v>
      </c>
      <c r="BD3" t="e">
        <f>'Normal gait variables'!BE22</f>
        <v>#VALUE!</v>
      </c>
      <c r="BE3" t="e">
        <f>'Normal gait variables'!BF22</f>
        <v>#VALUE!</v>
      </c>
      <c r="BF3" t="e">
        <f>'Normal gait variables'!BG22</f>
        <v>#VALUE!</v>
      </c>
      <c r="BG3" t="e">
        <f>'Normal gait variables'!BH22</f>
        <v>#VALUE!</v>
      </c>
      <c r="BH3" t="e">
        <f>'Normal gait variables'!BI22</f>
        <v>#VALUE!</v>
      </c>
      <c r="BI3" t="e">
        <f>'Normal gait variables'!BJ22</f>
        <v>#VALUE!</v>
      </c>
      <c r="BJ3" t="e">
        <f>'Normal gait variables'!BK22</f>
        <v>#VALUE!</v>
      </c>
      <c r="BK3" t="e">
        <f>'Normal gait variables'!BL22</f>
        <v>#VALUE!</v>
      </c>
      <c r="BL3" t="e">
        <f>'Normal gait variables'!BM22</f>
        <v>#VALUE!</v>
      </c>
      <c r="BM3" t="e">
        <f>'Normal gait variables'!BN22</f>
        <v>#VALUE!</v>
      </c>
      <c r="BN3" t="e">
        <f>'Normal gait variables'!BO22</f>
        <v>#VALUE!</v>
      </c>
      <c r="BO3" t="e">
        <f>'Normal gait variables'!BP22</f>
        <v>#VALUE!</v>
      </c>
      <c r="BP3" t="e">
        <f>'Normal gait variables'!BQ22</f>
        <v>#VALUE!</v>
      </c>
      <c r="BQ3" t="e">
        <f>'Normal gait variables'!BR22</f>
        <v>#VALUE!</v>
      </c>
      <c r="BR3" t="e">
        <f>'Normal gait variables'!BS22</f>
        <v>#VALUE!</v>
      </c>
      <c r="BS3" t="e">
        <f>'Normal gait variables'!BT22</f>
        <v>#VALUE!</v>
      </c>
      <c r="BT3" t="e">
        <f>'Normal gait variables'!BU22</f>
        <v>#VALUE!</v>
      </c>
      <c r="BU3" t="e">
        <f>'Normal gait variables'!BV22</f>
        <v>#VALUE!</v>
      </c>
      <c r="BV3" t="e">
        <f>'Normal gait variables'!BW22</f>
        <v>#VALUE!</v>
      </c>
      <c r="BW3" t="e">
        <f>'Normal gait variables'!BX22</f>
        <v>#VALUE!</v>
      </c>
      <c r="BX3" t="e">
        <f>'Normal gait variables'!BY22</f>
        <v>#VALUE!</v>
      </c>
      <c r="BY3" t="e">
        <f>'Normal gait variables'!BZ22</f>
        <v>#VALUE!</v>
      </c>
      <c r="BZ3" t="e">
        <f>'Normal gait variables'!CA22</f>
        <v>#VALUE!</v>
      </c>
      <c r="CA3" t="e">
        <f>'Normal gait variables'!CB22</f>
        <v>#VALUE!</v>
      </c>
      <c r="CB3" t="e">
        <f>'Normal gait variables'!CC22</f>
        <v>#VALUE!</v>
      </c>
      <c r="CC3" t="e">
        <f>'Normal gait variables'!CD22</f>
        <v>#VALUE!</v>
      </c>
      <c r="CD3" t="e">
        <f>'Normal gait variables'!CE22</f>
        <v>#VALUE!</v>
      </c>
      <c r="CE3" t="e">
        <f>'Normal gait variables'!CF22</f>
        <v>#VALUE!</v>
      </c>
      <c r="CF3" t="e">
        <f>'Normal gait variables'!CG22</f>
        <v>#VALUE!</v>
      </c>
      <c r="CG3" t="e">
        <f>'Normal gait variables'!CH22</f>
        <v>#VALUE!</v>
      </c>
      <c r="CH3" t="e">
        <f>'Normal gait variables'!CI22</f>
        <v>#VALUE!</v>
      </c>
      <c r="CI3" t="e">
        <f>'Normal gait variables'!CJ22</f>
        <v>#VALUE!</v>
      </c>
      <c r="CJ3" t="e">
        <f>'Normal gait variables'!CK22</f>
        <v>#VALUE!</v>
      </c>
      <c r="CK3" t="e">
        <f>'Normal gait variables'!CL22</f>
        <v>#VALUE!</v>
      </c>
      <c r="CL3" t="e">
        <f>'Normal gait variables'!CM22</f>
        <v>#VALUE!</v>
      </c>
      <c r="CM3" t="e">
        <f>'Normal gait variables'!CN22</f>
        <v>#VALUE!</v>
      </c>
      <c r="CN3" t="e">
        <f>'Normal gait variables'!CO22</f>
        <v>#VALUE!</v>
      </c>
      <c r="CO3" t="e">
        <f>'Normal gait variables'!CP22</f>
        <v>#VALUE!</v>
      </c>
      <c r="CP3" t="e">
        <f>'Normal gait variables'!CQ22</f>
        <v>#VALUE!</v>
      </c>
      <c r="CQ3" t="e">
        <f>'Normal gait variables'!CR22</f>
        <v>#VALUE!</v>
      </c>
      <c r="CR3" t="e">
        <f>'Normal gait variables'!CS22</f>
        <v>#VALUE!</v>
      </c>
      <c r="CS3" t="e">
        <f>'Normal gait variables'!CT22</f>
        <v>#VALUE!</v>
      </c>
      <c r="CT3" t="e">
        <f>'Normal gait variables'!CU22</f>
        <v>#VALUE!</v>
      </c>
      <c r="CU3" t="e">
        <f>'Normal gait variables'!CV22</f>
        <v>#VALUE!</v>
      </c>
      <c r="CV3" t="e">
        <f>'Normal gait variables'!CW22</f>
        <v>#VALUE!</v>
      </c>
      <c r="CW3" t="e">
        <f>'Normal gait variables'!CX22</f>
        <v>#VALUE!</v>
      </c>
      <c r="CX3" t="e">
        <f>'Normal gait variables'!CY22</f>
        <v>#VALUE!</v>
      </c>
      <c r="CY3" t="e">
        <f>'Normal gait variables'!CZ22</f>
        <v>#VALUE!</v>
      </c>
      <c r="CZ3" t="e">
        <f>'Normal gait variables'!DA22</f>
        <v>#VALUE!</v>
      </c>
      <c r="DA3" t="e">
        <f>'Normal gait variables'!DB22</f>
        <v>#VALUE!</v>
      </c>
    </row>
    <row r="4" spans="1:105" x14ac:dyDescent="0.25">
      <c r="A4" t="s">
        <v>0</v>
      </c>
      <c r="B4" t="s">
        <v>5</v>
      </c>
      <c r="C4">
        <v>20</v>
      </c>
      <c r="D4" s="3" t="s">
        <v>2</v>
      </c>
      <c r="E4" t="e">
        <f>'Normal gait variables'!F23</f>
        <v>#VALUE!</v>
      </c>
      <c r="F4" t="e">
        <f>'Normal gait variables'!G23</f>
        <v>#VALUE!</v>
      </c>
      <c r="G4" t="e">
        <f>'Normal gait variables'!H23</f>
        <v>#VALUE!</v>
      </c>
      <c r="H4" t="e">
        <f>'Normal gait variables'!I23</f>
        <v>#VALUE!</v>
      </c>
      <c r="I4" t="e">
        <f>'Normal gait variables'!J23</f>
        <v>#VALUE!</v>
      </c>
      <c r="J4" t="e">
        <f>'Normal gait variables'!K23</f>
        <v>#VALUE!</v>
      </c>
      <c r="K4" t="e">
        <f>'Normal gait variables'!L23</f>
        <v>#VALUE!</v>
      </c>
      <c r="L4" t="e">
        <f>'Normal gait variables'!M23</f>
        <v>#VALUE!</v>
      </c>
      <c r="M4" t="e">
        <f>'Normal gait variables'!N23</f>
        <v>#VALUE!</v>
      </c>
      <c r="N4" t="e">
        <f>'Normal gait variables'!O23</f>
        <v>#VALUE!</v>
      </c>
      <c r="O4" t="e">
        <f>'Normal gait variables'!P23</f>
        <v>#VALUE!</v>
      </c>
      <c r="P4" t="e">
        <f>'Normal gait variables'!Q23</f>
        <v>#VALUE!</v>
      </c>
      <c r="Q4" t="e">
        <f>'Normal gait variables'!R23</f>
        <v>#VALUE!</v>
      </c>
      <c r="R4" t="e">
        <f>'Normal gait variables'!S23</f>
        <v>#VALUE!</v>
      </c>
      <c r="S4" t="e">
        <f>'Normal gait variables'!T23</f>
        <v>#VALUE!</v>
      </c>
      <c r="T4" t="e">
        <f>'Normal gait variables'!U23</f>
        <v>#VALUE!</v>
      </c>
      <c r="U4" t="e">
        <f>'Normal gait variables'!V23</f>
        <v>#VALUE!</v>
      </c>
      <c r="V4" t="e">
        <f>'Normal gait variables'!W23</f>
        <v>#VALUE!</v>
      </c>
      <c r="W4" t="e">
        <f>'Normal gait variables'!X23</f>
        <v>#VALUE!</v>
      </c>
      <c r="X4" t="e">
        <f>'Normal gait variables'!Y23</f>
        <v>#VALUE!</v>
      </c>
      <c r="Y4" t="e">
        <f>'Normal gait variables'!Z23</f>
        <v>#VALUE!</v>
      </c>
      <c r="Z4" t="e">
        <f>'Normal gait variables'!AA23</f>
        <v>#VALUE!</v>
      </c>
      <c r="AA4" t="e">
        <f>'Normal gait variables'!AB23</f>
        <v>#VALUE!</v>
      </c>
      <c r="AB4" t="e">
        <f>'Normal gait variables'!AC23</f>
        <v>#VALUE!</v>
      </c>
      <c r="AC4" t="e">
        <f>'Normal gait variables'!AD23</f>
        <v>#VALUE!</v>
      </c>
      <c r="AD4" t="e">
        <f>'Normal gait variables'!AE23</f>
        <v>#VALUE!</v>
      </c>
      <c r="AE4" t="e">
        <f>'Normal gait variables'!AF23</f>
        <v>#VALUE!</v>
      </c>
      <c r="AF4" t="e">
        <f>'Normal gait variables'!AG23</f>
        <v>#VALUE!</v>
      </c>
      <c r="AG4" t="e">
        <f>'Normal gait variables'!AH23</f>
        <v>#VALUE!</v>
      </c>
      <c r="AH4" t="e">
        <f>'Normal gait variables'!AI23</f>
        <v>#VALUE!</v>
      </c>
      <c r="AI4" t="e">
        <f>'Normal gait variables'!AJ23</f>
        <v>#VALUE!</v>
      </c>
      <c r="AJ4" t="e">
        <f>'Normal gait variables'!AK23</f>
        <v>#VALUE!</v>
      </c>
      <c r="AK4" t="e">
        <f>'Normal gait variables'!AL23</f>
        <v>#VALUE!</v>
      </c>
      <c r="AL4" t="e">
        <f>'Normal gait variables'!AM23</f>
        <v>#VALUE!</v>
      </c>
      <c r="AM4" t="e">
        <f>'Normal gait variables'!AN23</f>
        <v>#VALUE!</v>
      </c>
      <c r="AN4" t="e">
        <f>'Normal gait variables'!AO23</f>
        <v>#VALUE!</v>
      </c>
      <c r="AO4" t="e">
        <f>'Normal gait variables'!AP23</f>
        <v>#VALUE!</v>
      </c>
      <c r="AP4" t="e">
        <f>'Normal gait variables'!AQ23</f>
        <v>#VALUE!</v>
      </c>
      <c r="AQ4" t="e">
        <f>'Normal gait variables'!AR23</f>
        <v>#VALUE!</v>
      </c>
      <c r="AR4" t="e">
        <f>'Normal gait variables'!AS23</f>
        <v>#VALUE!</v>
      </c>
      <c r="AS4" t="e">
        <f>'Normal gait variables'!AT23</f>
        <v>#VALUE!</v>
      </c>
      <c r="AT4" t="e">
        <f>'Normal gait variables'!AU23</f>
        <v>#VALUE!</v>
      </c>
      <c r="AU4" t="e">
        <f>'Normal gait variables'!AV23</f>
        <v>#VALUE!</v>
      </c>
      <c r="AV4" t="e">
        <f>'Normal gait variables'!AW23</f>
        <v>#VALUE!</v>
      </c>
      <c r="AW4" t="e">
        <f>'Normal gait variables'!AX23</f>
        <v>#VALUE!</v>
      </c>
      <c r="AX4" t="e">
        <f>'Normal gait variables'!AY23</f>
        <v>#VALUE!</v>
      </c>
      <c r="AY4" t="e">
        <f>'Normal gait variables'!AZ23</f>
        <v>#VALUE!</v>
      </c>
      <c r="AZ4" t="e">
        <f>'Normal gait variables'!BA23</f>
        <v>#VALUE!</v>
      </c>
      <c r="BA4" t="e">
        <f>'Normal gait variables'!BB23</f>
        <v>#VALUE!</v>
      </c>
      <c r="BB4" t="e">
        <f>'Normal gait variables'!BC23</f>
        <v>#VALUE!</v>
      </c>
      <c r="BC4" t="e">
        <f>'Normal gait variables'!BD23</f>
        <v>#VALUE!</v>
      </c>
      <c r="BD4" t="e">
        <f>'Normal gait variables'!BE23</f>
        <v>#VALUE!</v>
      </c>
      <c r="BE4" t="e">
        <f>'Normal gait variables'!BF23</f>
        <v>#VALUE!</v>
      </c>
      <c r="BF4" t="e">
        <f>'Normal gait variables'!BG23</f>
        <v>#VALUE!</v>
      </c>
      <c r="BG4" t="e">
        <f>'Normal gait variables'!BH23</f>
        <v>#VALUE!</v>
      </c>
      <c r="BH4" t="e">
        <f>'Normal gait variables'!BI23</f>
        <v>#VALUE!</v>
      </c>
      <c r="BI4" t="e">
        <f>'Normal gait variables'!BJ23</f>
        <v>#VALUE!</v>
      </c>
      <c r="BJ4" t="e">
        <f>'Normal gait variables'!BK23</f>
        <v>#VALUE!</v>
      </c>
      <c r="BK4" t="e">
        <f>'Normal gait variables'!BL23</f>
        <v>#VALUE!</v>
      </c>
      <c r="BL4" t="e">
        <f>'Normal gait variables'!BM23</f>
        <v>#VALUE!</v>
      </c>
      <c r="BM4" t="e">
        <f>'Normal gait variables'!BN23</f>
        <v>#VALUE!</v>
      </c>
      <c r="BN4" t="e">
        <f>'Normal gait variables'!BO23</f>
        <v>#VALUE!</v>
      </c>
      <c r="BO4" t="e">
        <f>'Normal gait variables'!BP23</f>
        <v>#VALUE!</v>
      </c>
      <c r="BP4" t="e">
        <f>'Normal gait variables'!BQ23</f>
        <v>#VALUE!</v>
      </c>
      <c r="BQ4" t="e">
        <f>'Normal gait variables'!BR23</f>
        <v>#VALUE!</v>
      </c>
      <c r="BR4" t="e">
        <f>'Normal gait variables'!BS23</f>
        <v>#VALUE!</v>
      </c>
      <c r="BS4" t="e">
        <f>'Normal gait variables'!BT23</f>
        <v>#VALUE!</v>
      </c>
      <c r="BT4" t="e">
        <f>'Normal gait variables'!BU23</f>
        <v>#VALUE!</v>
      </c>
      <c r="BU4" t="e">
        <f>'Normal gait variables'!BV23</f>
        <v>#VALUE!</v>
      </c>
      <c r="BV4" t="e">
        <f>'Normal gait variables'!BW23</f>
        <v>#VALUE!</v>
      </c>
      <c r="BW4" t="e">
        <f>'Normal gait variables'!BX23</f>
        <v>#VALUE!</v>
      </c>
      <c r="BX4" t="e">
        <f>'Normal gait variables'!BY23</f>
        <v>#VALUE!</v>
      </c>
      <c r="BY4" t="e">
        <f>'Normal gait variables'!BZ23</f>
        <v>#VALUE!</v>
      </c>
      <c r="BZ4" t="e">
        <f>'Normal gait variables'!CA23</f>
        <v>#VALUE!</v>
      </c>
      <c r="CA4" t="e">
        <f>'Normal gait variables'!CB23</f>
        <v>#VALUE!</v>
      </c>
      <c r="CB4" t="e">
        <f>'Normal gait variables'!CC23</f>
        <v>#VALUE!</v>
      </c>
      <c r="CC4" t="e">
        <f>'Normal gait variables'!CD23</f>
        <v>#VALUE!</v>
      </c>
      <c r="CD4" t="e">
        <f>'Normal gait variables'!CE23</f>
        <v>#VALUE!</v>
      </c>
      <c r="CE4" t="e">
        <f>'Normal gait variables'!CF23</f>
        <v>#VALUE!</v>
      </c>
      <c r="CF4" t="e">
        <f>'Normal gait variables'!CG23</f>
        <v>#VALUE!</v>
      </c>
      <c r="CG4" t="e">
        <f>'Normal gait variables'!CH23</f>
        <v>#VALUE!</v>
      </c>
      <c r="CH4" t="e">
        <f>'Normal gait variables'!CI23</f>
        <v>#VALUE!</v>
      </c>
      <c r="CI4" t="e">
        <f>'Normal gait variables'!CJ23</f>
        <v>#VALUE!</v>
      </c>
      <c r="CJ4" t="e">
        <f>'Normal gait variables'!CK23</f>
        <v>#VALUE!</v>
      </c>
      <c r="CK4" t="e">
        <f>'Normal gait variables'!CL23</f>
        <v>#VALUE!</v>
      </c>
      <c r="CL4" t="e">
        <f>'Normal gait variables'!CM23</f>
        <v>#VALUE!</v>
      </c>
      <c r="CM4" t="e">
        <f>'Normal gait variables'!CN23</f>
        <v>#VALUE!</v>
      </c>
      <c r="CN4" t="e">
        <f>'Normal gait variables'!CO23</f>
        <v>#VALUE!</v>
      </c>
      <c r="CO4" t="e">
        <f>'Normal gait variables'!CP23</f>
        <v>#VALUE!</v>
      </c>
      <c r="CP4" t="e">
        <f>'Normal gait variables'!CQ23</f>
        <v>#VALUE!</v>
      </c>
      <c r="CQ4" t="e">
        <f>'Normal gait variables'!CR23</f>
        <v>#VALUE!</v>
      </c>
      <c r="CR4" t="e">
        <f>'Normal gait variables'!CS23</f>
        <v>#VALUE!</v>
      </c>
      <c r="CS4" t="e">
        <f>'Normal gait variables'!CT23</f>
        <v>#VALUE!</v>
      </c>
      <c r="CT4" t="e">
        <f>'Normal gait variables'!CU23</f>
        <v>#VALUE!</v>
      </c>
      <c r="CU4" t="e">
        <f>'Normal gait variables'!CV23</f>
        <v>#VALUE!</v>
      </c>
      <c r="CV4" t="e">
        <f>'Normal gait variables'!CW23</f>
        <v>#VALUE!</v>
      </c>
      <c r="CW4" t="e">
        <f>'Normal gait variables'!CX23</f>
        <v>#VALUE!</v>
      </c>
      <c r="CX4" t="e">
        <f>'Normal gait variables'!CY23</f>
        <v>#VALUE!</v>
      </c>
      <c r="CY4" t="e">
        <f>'Normal gait variables'!CZ23</f>
        <v>#VALUE!</v>
      </c>
      <c r="CZ4" t="e">
        <f>'Normal gait variables'!DA23</f>
        <v>#VALUE!</v>
      </c>
      <c r="DA4" t="e">
        <f>'Normal gait variables'!DB23</f>
        <v>#VALUE!</v>
      </c>
    </row>
    <row r="5" spans="1:105" x14ac:dyDescent="0.25">
      <c r="A5" t="s">
        <v>0</v>
      </c>
      <c r="B5" t="s">
        <v>1</v>
      </c>
      <c r="C5">
        <v>20</v>
      </c>
      <c r="D5" s="3" t="s">
        <v>2</v>
      </c>
      <c r="E5" t="e">
        <f>'Normal gait variables'!F24</f>
        <v>#VALUE!</v>
      </c>
      <c r="F5" t="e">
        <f>'Normal gait variables'!G24</f>
        <v>#VALUE!</v>
      </c>
      <c r="G5" t="e">
        <f>'Normal gait variables'!H24</f>
        <v>#VALUE!</v>
      </c>
      <c r="H5" t="e">
        <f>'Normal gait variables'!I24</f>
        <v>#VALUE!</v>
      </c>
      <c r="I5" t="e">
        <f>'Normal gait variables'!J24</f>
        <v>#VALUE!</v>
      </c>
      <c r="J5" t="e">
        <f>'Normal gait variables'!K24</f>
        <v>#VALUE!</v>
      </c>
      <c r="K5" t="e">
        <f>'Normal gait variables'!L24</f>
        <v>#VALUE!</v>
      </c>
      <c r="L5" t="e">
        <f>'Normal gait variables'!M24</f>
        <v>#VALUE!</v>
      </c>
      <c r="M5" t="e">
        <f>'Normal gait variables'!N24</f>
        <v>#VALUE!</v>
      </c>
      <c r="N5" t="e">
        <f>'Normal gait variables'!O24</f>
        <v>#VALUE!</v>
      </c>
      <c r="O5" t="e">
        <f>'Normal gait variables'!P24</f>
        <v>#VALUE!</v>
      </c>
      <c r="P5" t="e">
        <f>'Normal gait variables'!Q24</f>
        <v>#VALUE!</v>
      </c>
      <c r="Q5" t="e">
        <f>'Normal gait variables'!R24</f>
        <v>#VALUE!</v>
      </c>
      <c r="R5" t="e">
        <f>'Normal gait variables'!S24</f>
        <v>#VALUE!</v>
      </c>
      <c r="S5" t="e">
        <f>'Normal gait variables'!T24</f>
        <v>#VALUE!</v>
      </c>
      <c r="T5" t="e">
        <f>'Normal gait variables'!U24</f>
        <v>#VALUE!</v>
      </c>
      <c r="U5" t="e">
        <f>'Normal gait variables'!V24</f>
        <v>#VALUE!</v>
      </c>
      <c r="V5" t="e">
        <f>'Normal gait variables'!W24</f>
        <v>#VALUE!</v>
      </c>
      <c r="W5" t="e">
        <f>'Normal gait variables'!X24</f>
        <v>#VALUE!</v>
      </c>
      <c r="X5" t="e">
        <f>'Normal gait variables'!Y24</f>
        <v>#VALUE!</v>
      </c>
      <c r="Y5" t="e">
        <f>'Normal gait variables'!Z24</f>
        <v>#VALUE!</v>
      </c>
      <c r="Z5" t="e">
        <f>'Normal gait variables'!AA24</f>
        <v>#VALUE!</v>
      </c>
      <c r="AA5" t="e">
        <f>'Normal gait variables'!AB24</f>
        <v>#VALUE!</v>
      </c>
      <c r="AB5" t="e">
        <f>'Normal gait variables'!AC24</f>
        <v>#VALUE!</v>
      </c>
      <c r="AC5" t="e">
        <f>'Normal gait variables'!AD24</f>
        <v>#VALUE!</v>
      </c>
      <c r="AD5" t="e">
        <f>'Normal gait variables'!AE24</f>
        <v>#VALUE!</v>
      </c>
      <c r="AE5" t="e">
        <f>'Normal gait variables'!AF24</f>
        <v>#VALUE!</v>
      </c>
      <c r="AF5" t="e">
        <f>'Normal gait variables'!AG24</f>
        <v>#VALUE!</v>
      </c>
      <c r="AG5" t="e">
        <f>'Normal gait variables'!AH24</f>
        <v>#VALUE!</v>
      </c>
      <c r="AH5" t="e">
        <f>'Normal gait variables'!AI24</f>
        <v>#VALUE!</v>
      </c>
      <c r="AI5" t="e">
        <f>'Normal gait variables'!AJ24</f>
        <v>#VALUE!</v>
      </c>
      <c r="AJ5" t="e">
        <f>'Normal gait variables'!AK24</f>
        <v>#VALUE!</v>
      </c>
      <c r="AK5" t="e">
        <f>'Normal gait variables'!AL24</f>
        <v>#VALUE!</v>
      </c>
      <c r="AL5" t="e">
        <f>'Normal gait variables'!AM24</f>
        <v>#VALUE!</v>
      </c>
      <c r="AM5" t="e">
        <f>'Normal gait variables'!AN24</f>
        <v>#VALUE!</v>
      </c>
      <c r="AN5" t="e">
        <f>'Normal gait variables'!AO24</f>
        <v>#VALUE!</v>
      </c>
      <c r="AO5" t="e">
        <f>'Normal gait variables'!AP24</f>
        <v>#VALUE!</v>
      </c>
      <c r="AP5" t="e">
        <f>'Normal gait variables'!AQ24</f>
        <v>#VALUE!</v>
      </c>
      <c r="AQ5" t="e">
        <f>'Normal gait variables'!AR24</f>
        <v>#VALUE!</v>
      </c>
      <c r="AR5" t="e">
        <f>'Normal gait variables'!AS24</f>
        <v>#VALUE!</v>
      </c>
      <c r="AS5" t="e">
        <f>'Normal gait variables'!AT24</f>
        <v>#VALUE!</v>
      </c>
      <c r="AT5" t="e">
        <f>'Normal gait variables'!AU24</f>
        <v>#VALUE!</v>
      </c>
      <c r="AU5" t="e">
        <f>'Normal gait variables'!AV24</f>
        <v>#VALUE!</v>
      </c>
      <c r="AV5" t="e">
        <f>'Normal gait variables'!AW24</f>
        <v>#VALUE!</v>
      </c>
      <c r="AW5" t="e">
        <f>'Normal gait variables'!AX24</f>
        <v>#VALUE!</v>
      </c>
      <c r="AX5" t="e">
        <f>'Normal gait variables'!AY24</f>
        <v>#VALUE!</v>
      </c>
      <c r="AY5" t="e">
        <f>'Normal gait variables'!AZ24</f>
        <v>#VALUE!</v>
      </c>
      <c r="AZ5" t="e">
        <f>'Normal gait variables'!BA24</f>
        <v>#VALUE!</v>
      </c>
      <c r="BA5" t="e">
        <f>'Normal gait variables'!BB24</f>
        <v>#VALUE!</v>
      </c>
      <c r="BB5" t="e">
        <f>'Normal gait variables'!BC24</f>
        <v>#VALUE!</v>
      </c>
      <c r="BC5" t="e">
        <f>'Normal gait variables'!BD24</f>
        <v>#VALUE!</v>
      </c>
      <c r="BD5" t="e">
        <f>'Normal gait variables'!BE24</f>
        <v>#VALUE!</v>
      </c>
      <c r="BE5" t="e">
        <f>'Normal gait variables'!BF24</f>
        <v>#VALUE!</v>
      </c>
      <c r="BF5" t="e">
        <f>'Normal gait variables'!BG24</f>
        <v>#VALUE!</v>
      </c>
      <c r="BG5" t="e">
        <f>'Normal gait variables'!BH24</f>
        <v>#VALUE!</v>
      </c>
      <c r="BH5" t="e">
        <f>'Normal gait variables'!BI24</f>
        <v>#VALUE!</v>
      </c>
      <c r="BI5" t="e">
        <f>'Normal gait variables'!BJ24</f>
        <v>#VALUE!</v>
      </c>
      <c r="BJ5" t="e">
        <f>'Normal gait variables'!BK24</f>
        <v>#VALUE!</v>
      </c>
      <c r="BK5" t="e">
        <f>'Normal gait variables'!BL24</f>
        <v>#VALUE!</v>
      </c>
      <c r="BL5" t="e">
        <f>'Normal gait variables'!BM24</f>
        <v>#VALUE!</v>
      </c>
      <c r="BM5" t="e">
        <f>'Normal gait variables'!BN24</f>
        <v>#VALUE!</v>
      </c>
      <c r="BN5" t="e">
        <f>'Normal gait variables'!BO24</f>
        <v>#VALUE!</v>
      </c>
      <c r="BO5" t="e">
        <f>'Normal gait variables'!BP24</f>
        <v>#VALUE!</v>
      </c>
      <c r="BP5" t="e">
        <f>'Normal gait variables'!BQ24</f>
        <v>#VALUE!</v>
      </c>
      <c r="BQ5" t="e">
        <f>'Normal gait variables'!BR24</f>
        <v>#VALUE!</v>
      </c>
      <c r="BR5" t="e">
        <f>'Normal gait variables'!BS24</f>
        <v>#VALUE!</v>
      </c>
      <c r="BS5" t="e">
        <f>'Normal gait variables'!BT24</f>
        <v>#VALUE!</v>
      </c>
      <c r="BT5" t="e">
        <f>'Normal gait variables'!BU24</f>
        <v>#VALUE!</v>
      </c>
      <c r="BU5" t="e">
        <f>'Normal gait variables'!BV24</f>
        <v>#VALUE!</v>
      </c>
      <c r="BV5" t="e">
        <f>'Normal gait variables'!BW24</f>
        <v>#VALUE!</v>
      </c>
      <c r="BW5" t="e">
        <f>'Normal gait variables'!BX24</f>
        <v>#VALUE!</v>
      </c>
      <c r="BX5" t="e">
        <f>'Normal gait variables'!BY24</f>
        <v>#VALUE!</v>
      </c>
      <c r="BY5" t="e">
        <f>'Normal gait variables'!BZ24</f>
        <v>#VALUE!</v>
      </c>
      <c r="BZ5" t="e">
        <f>'Normal gait variables'!CA24</f>
        <v>#VALUE!</v>
      </c>
      <c r="CA5" t="e">
        <f>'Normal gait variables'!CB24</f>
        <v>#VALUE!</v>
      </c>
      <c r="CB5" t="e">
        <f>'Normal gait variables'!CC24</f>
        <v>#VALUE!</v>
      </c>
      <c r="CC5" t="e">
        <f>'Normal gait variables'!CD24</f>
        <v>#VALUE!</v>
      </c>
      <c r="CD5" t="e">
        <f>'Normal gait variables'!CE24</f>
        <v>#VALUE!</v>
      </c>
      <c r="CE5" t="e">
        <f>'Normal gait variables'!CF24</f>
        <v>#VALUE!</v>
      </c>
      <c r="CF5" t="e">
        <f>'Normal gait variables'!CG24</f>
        <v>#VALUE!</v>
      </c>
      <c r="CG5" t="e">
        <f>'Normal gait variables'!CH24</f>
        <v>#VALUE!</v>
      </c>
      <c r="CH5" t="e">
        <f>'Normal gait variables'!CI24</f>
        <v>#VALUE!</v>
      </c>
      <c r="CI5" t="e">
        <f>'Normal gait variables'!CJ24</f>
        <v>#VALUE!</v>
      </c>
      <c r="CJ5" t="e">
        <f>'Normal gait variables'!CK24</f>
        <v>#VALUE!</v>
      </c>
      <c r="CK5" t="e">
        <f>'Normal gait variables'!CL24</f>
        <v>#VALUE!</v>
      </c>
      <c r="CL5" t="e">
        <f>'Normal gait variables'!CM24</f>
        <v>#VALUE!</v>
      </c>
      <c r="CM5" t="e">
        <f>'Normal gait variables'!CN24</f>
        <v>#VALUE!</v>
      </c>
      <c r="CN5" t="e">
        <f>'Normal gait variables'!CO24</f>
        <v>#VALUE!</v>
      </c>
      <c r="CO5" t="e">
        <f>'Normal gait variables'!CP24</f>
        <v>#VALUE!</v>
      </c>
      <c r="CP5" t="e">
        <f>'Normal gait variables'!CQ24</f>
        <v>#VALUE!</v>
      </c>
      <c r="CQ5" t="e">
        <f>'Normal gait variables'!CR24</f>
        <v>#VALUE!</v>
      </c>
      <c r="CR5" t="e">
        <f>'Normal gait variables'!CS24</f>
        <v>#VALUE!</v>
      </c>
      <c r="CS5" t="e">
        <f>'Normal gait variables'!CT24</f>
        <v>#VALUE!</v>
      </c>
      <c r="CT5" t="e">
        <f>'Normal gait variables'!CU24</f>
        <v>#VALUE!</v>
      </c>
      <c r="CU5" t="e">
        <f>'Normal gait variables'!CV24</f>
        <v>#VALUE!</v>
      </c>
      <c r="CV5" t="e">
        <f>'Normal gait variables'!CW24</f>
        <v>#VALUE!</v>
      </c>
      <c r="CW5" t="e">
        <f>'Normal gait variables'!CX24</f>
        <v>#VALUE!</v>
      </c>
      <c r="CX5" t="e">
        <f>'Normal gait variables'!CY24</f>
        <v>#VALUE!</v>
      </c>
      <c r="CY5" t="e">
        <f>'Normal gait variables'!CZ24</f>
        <v>#VALUE!</v>
      </c>
      <c r="CZ5" t="e">
        <f>'Normal gait variables'!DA24</f>
        <v>#VALUE!</v>
      </c>
      <c r="DA5" t="e">
        <f>'Normal gait variables'!DB24</f>
        <v>#VALUE!</v>
      </c>
    </row>
    <row r="6" spans="1:105" x14ac:dyDescent="0.25">
      <c r="A6" t="s">
        <v>0</v>
      </c>
      <c r="B6" t="s">
        <v>3</v>
      </c>
      <c r="C6">
        <v>20</v>
      </c>
      <c r="D6" s="3" t="s">
        <v>2</v>
      </c>
      <c r="E6" t="e">
        <f>'Normal gait variables'!F25</f>
        <v>#VALUE!</v>
      </c>
      <c r="F6" t="e">
        <f>'Normal gait variables'!G25</f>
        <v>#VALUE!</v>
      </c>
      <c r="G6" t="e">
        <f>'Normal gait variables'!H25</f>
        <v>#VALUE!</v>
      </c>
      <c r="H6" t="e">
        <f>'Normal gait variables'!I25</f>
        <v>#VALUE!</v>
      </c>
      <c r="I6" t="e">
        <f>'Normal gait variables'!J25</f>
        <v>#VALUE!</v>
      </c>
      <c r="J6" t="e">
        <f>'Normal gait variables'!K25</f>
        <v>#VALUE!</v>
      </c>
      <c r="K6" t="e">
        <f>'Normal gait variables'!L25</f>
        <v>#VALUE!</v>
      </c>
      <c r="L6" t="e">
        <f>'Normal gait variables'!M25</f>
        <v>#VALUE!</v>
      </c>
      <c r="M6" t="e">
        <f>'Normal gait variables'!N25</f>
        <v>#VALUE!</v>
      </c>
      <c r="N6" t="e">
        <f>'Normal gait variables'!O25</f>
        <v>#VALUE!</v>
      </c>
      <c r="O6" t="e">
        <f>'Normal gait variables'!P25</f>
        <v>#VALUE!</v>
      </c>
      <c r="P6" t="e">
        <f>'Normal gait variables'!Q25</f>
        <v>#VALUE!</v>
      </c>
      <c r="Q6" t="e">
        <f>'Normal gait variables'!R25</f>
        <v>#VALUE!</v>
      </c>
      <c r="R6" t="e">
        <f>'Normal gait variables'!S25</f>
        <v>#VALUE!</v>
      </c>
      <c r="S6" t="e">
        <f>'Normal gait variables'!T25</f>
        <v>#VALUE!</v>
      </c>
      <c r="T6" t="e">
        <f>'Normal gait variables'!U25</f>
        <v>#VALUE!</v>
      </c>
      <c r="U6" t="e">
        <f>'Normal gait variables'!V25</f>
        <v>#VALUE!</v>
      </c>
      <c r="V6" t="e">
        <f>'Normal gait variables'!W25</f>
        <v>#VALUE!</v>
      </c>
      <c r="W6" t="e">
        <f>'Normal gait variables'!X25</f>
        <v>#VALUE!</v>
      </c>
      <c r="X6" t="e">
        <f>'Normal gait variables'!Y25</f>
        <v>#VALUE!</v>
      </c>
      <c r="Y6" t="e">
        <f>'Normal gait variables'!Z25</f>
        <v>#VALUE!</v>
      </c>
      <c r="Z6" t="e">
        <f>'Normal gait variables'!AA25</f>
        <v>#VALUE!</v>
      </c>
      <c r="AA6" t="e">
        <f>'Normal gait variables'!AB25</f>
        <v>#VALUE!</v>
      </c>
      <c r="AB6" t="e">
        <f>'Normal gait variables'!AC25</f>
        <v>#VALUE!</v>
      </c>
      <c r="AC6" t="e">
        <f>'Normal gait variables'!AD25</f>
        <v>#VALUE!</v>
      </c>
      <c r="AD6" t="e">
        <f>'Normal gait variables'!AE25</f>
        <v>#VALUE!</v>
      </c>
      <c r="AE6" t="e">
        <f>'Normal gait variables'!AF25</f>
        <v>#VALUE!</v>
      </c>
      <c r="AF6" t="e">
        <f>'Normal gait variables'!AG25</f>
        <v>#VALUE!</v>
      </c>
      <c r="AG6" t="e">
        <f>'Normal gait variables'!AH25</f>
        <v>#VALUE!</v>
      </c>
      <c r="AH6" t="e">
        <f>'Normal gait variables'!AI25</f>
        <v>#VALUE!</v>
      </c>
      <c r="AI6" t="e">
        <f>'Normal gait variables'!AJ25</f>
        <v>#VALUE!</v>
      </c>
      <c r="AJ6" t="e">
        <f>'Normal gait variables'!AK25</f>
        <v>#VALUE!</v>
      </c>
      <c r="AK6" t="e">
        <f>'Normal gait variables'!AL25</f>
        <v>#VALUE!</v>
      </c>
      <c r="AL6" t="e">
        <f>'Normal gait variables'!AM25</f>
        <v>#VALUE!</v>
      </c>
      <c r="AM6" t="e">
        <f>'Normal gait variables'!AN25</f>
        <v>#VALUE!</v>
      </c>
      <c r="AN6" t="e">
        <f>'Normal gait variables'!AO25</f>
        <v>#VALUE!</v>
      </c>
      <c r="AO6" t="e">
        <f>'Normal gait variables'!AP25</f>
        <v>#VALUE!</v>
      </c>
      <c r="AP6" t="e">
        <f>'Normal gait variables'!AQ25</f>
        <v>#VALUE!</v>
      </c>
      <c r="AQ6" t="e">
        <f>'Normal gait variables'!AR25</f>
        <v>#VALUE!</v>
      </c>
      <c r="AR6" t="e">
        <f>'Normal gait variables'!AS25</f>
        <v>#VALUE!</v>
      </c>
      <c r="AS6" t="e">
        <f>'Normal gait variables'!AT25</f>
        <v>#VALUE!</v>
      </c>
      <c r="AT6" t="e">
        <f>'Normal gait variables'!AU25</f>
        <v>#VALUE!</v>
      </c>
      <c r="AU6" t="e">
        <f>'Normal gait variables'!AV25</f>
        <v>#VALUE!</v>
      </c>
      <c r="AV6" t="e">
        <f>'Normal gait variables'!AW25</f>
        <v>#VALUE!</v>
      </c>
      <c r="AW6" t="e">
        <f>'Normal gait variables'!AX25</f>
        <v>#VALUE!</v>
      </c>
      <c r="AX6" t="e">
        <f>'Normal gait variables'!AY25</f>
        <v>#VALUE!</v>
      </c>
      <c r="AY6" t="e">
        <f>'Normal gait variables'!AZ25</f>
        <v>#VALUE!</v>
      </c>
      <c r="AZ6" t="e">
        <f>'Normal gait variables'!BA25</f>
        <v>#VALUE!</v>
      </c>
      <c r="BA6" t="e">
        <f>'Normal gait variables'!BB25</f>
        <v>#VALUE!</v>
      </c>
      <c r="BB6" t="e">
        <f>'Normal gait variables'!BC25</f>
        <v>#VALUE!</v>
      </c>
      <c r="BC6" t="e">
        <f>'Normal gait variables'!BD25</f>
        <v>#VALUE!</v>
      </c>
      <c r="BD6" t="e">
        <f>'Normal gait variables'!BE25</f>
        <v>#VALUE!</v>
      </c>
      <c r="BE6" t="e">
        <f>'Normal gait variables'!BF25</f>
        <v>#VALUE!</v>
      </c>
      <c r="BF6" t="e">
        <f>'Normal gait variables'!BG25</f>
        <v>#VALUE!</v>
      </c>
      <c r="BG6" t="e">
        <f>'Normal gait variables'!BH25</f>
        <v>#VALUE!</v>
      </c>
      <c r="BH6" t="e">
        <f>'Normal gait variables'!BI25</f>
        <v>#VALUE!</v>
      </c>
      <c r="BI6" t="e">
        <f>'Normal gait variables'!BJ25</f>
        <v>#VALUE!</v>
      </c>
      <c r="BJ6" t="e">
        <f>'Normal gait variables'!BK25</f>
        <v>#VALUE!</v>
      </c>
      <c r="BK6" t="e">
        <f>'Normal gait variables'!BL25</f>
        <v>#VALUE!</v>
      </c>
      <c r="BL6" t="e">
        <f>'Normal gait variables'!BM25</f>
        <v>#VALUE!</v>
      </c>
      <c r="BM6" t="e">
        <f>'Normal gait variables'!BN25</f>
        <v>#VALUE!</v>
      </c>
      <c r="BN6" t="e">
        <f>'Normal gait variables'!BO25</f>
        <v>#VALUE!</v>
      </c>
      <c r="BO6" t="e">
        <f>'Normal gait variables'!BP25</f>
        <v>#VALUE!</v>
      </c>
      <c r="BP6" t="e">
        <f>'Normal gait variables'!BQ25</f>
        <v>#VALUE!</v>
      </c>
      <c r="BQ6" t="e">
        <f>'Normal gait variables'!BR25</f>
        <v>#VALUE!</v>
      </c>
      <c r="BR6" t="e">
        <f>'Normal gait variables'!BS25</f>
        <v>#VALUE!</v>
      </c>
      <c r="BS6" t="e">
        <f>'Normal gait variables'!BT25</f>
        <v>#VALUE!</v>
      </c>
      <c r="BT6" t="e">
        <f>'Normal gait variables'!BU25</f>
        <v>#VALUE!</v>
      </c>
      <c r="BU6" t="e">
        <f>'Normal gait variables'!BV25</f>
        <v>#VALUE!</v>
      </c>
      <c r="BV6" t="e">
        <f>'Normal gait variables'!BW25</f>
        <v>#VALUE!</v>
      </c>
      <c r="BW6" t="e">
        <f>'Normal gait variables'!BX25</f>
        <v>#VALUE!</v>
      </c>
      <c r="BX6" t="e">
        <f>'Normal gait variables'!BY25</f>
        <v>#VALUE!</v>
      </c>
      <c r="BY6" t="e">
        <f>'Normal gait variables'!BZ25</f>
        <v>#VALUE!</v>
      </c>
      <c r="BZ6" t="e">
        <f>'Normal gait variables'!CA25</f>
        <v>#VALUE!</v>
      </c>
      <c r="CA6" t="e">
        <f>'Normal gait variables'!CB25</f>
        <v>#VALUE!</v>
      </c>
      <c r="CB6" t="e">
        <f>'Normal gait variables'!CC25</f>
        <v>#VALUE!</v>
      </c>
      <c r="CC6" t="e">
        <f>'Normal gait variables'!CD25</f>
        <v>#VALUE!</v>
      </c>
      <c r="CD6" t="e">
        <f>'Normal gait variables'!CE25</f>
        <v>#VALUE!</v>
      </c>
      <c r="CE6" t="e">
        <f>'Normal gait variables'!CF25</f>
        <v>#VALUE!</v>
      </c>
      <c r="CF6" t="e">
        <f>'Normal gait variables'!CG25</f>
        <v>#VALUE!</v>
      </c>
      <c r="CG6" t="e">
        <f>'Normal gait variables'!CH25</f>
        <v>#VALUE!</v>
      </c>
      <c r="CH6" t="e">
        <f>'Normal gait variables'!CI25</f>
        <v>#VALUE!</v>
      </c>
      <c r="CI6" t="e">
        <f>'Normal gait variables'!CJ25</f>
        <v>#VALUE!</v>
      </c>
      <c r="CJ6" t="e">
        <f>'Normal gait variables'!CK25</f>
        <v>#VALUE!</v>
      </c>
      <c r="CK6" t="e">
        <f>'Normal gait variables'!CL25</f>
        <v>#VALUE!</v>
      </c>
      <c r="CL6" t="e">
        <f>'Normal gait variables'!CM25</f>
        <v>#VALUE!</v>
      </c>
      <c r="CM6" t="e">
        <f>'Normal gait variables'!CN25</f>
        <v>#VALUE!</v>
      </c>
      <c r="CN6" t="e">
        <f>'Normal gait variables'!CO25</f>
        <v>#VALUE!</v>
      </c>
      <c r="CO6" t="e">
        <f>'Normal gait variables'!CP25</f>
        <v>#VALUE!</v>
      </c>
      <c r="CP6" t="e">
        <f>'Normal gait variables'!CQ25</f>
        <v>#VALUE!</v>
      </c>
      <c r="CQ6" t="e">
        <f>'Normal gait variables'!CR25</f>
        <v>#VALUE!</v>
      </c>
      <c r="CR6" t="e">
        <f>'Normal gait variables'!CS25</f>
        <v>#VALUE!</v>
      </c>
      <c r="CS6" t="e">
        <f>'Normal gait variables'!CT25</f>
        <v>#VALUE!</v>
      </c>
      <c r="CT6" t="e">
        <f>'Normal gait variables'!CU25</f>
        <v>#VALUE!</v>
      </c>
      <c r="CU6" t="e">
        <f>'Normal gait variables'!CV25</f>
        <v>#VALUE!</v>
      </c>
      <c r="CV6" t="e">
        <f>'Normal gait variables'!CW25</f>
        <v>#VALUE!</v>
      </c>
      <c r="CW6" t="e">
        <f>'Normal gait variables'!CX25</f>
        <v>#VALUE!</v>
      </c>
      <c r="CX6" t="e">
        <f>'Normal gait variables'!CY25</f>
        <v>#VALUE!</v>
      </c>
      <c r="CY6" t="e">
        <f>'Normal gait variables'!CZ25</f>
        <v>#VALUE!</v>
      </c>
      <c r="CZ6" t="e">
        <f>'Normal gait variables'!DA25</f>
        <v>#VALUE!</v>
      </c>
      <c r="DA6" t="e">
        <f>'Normal gait variables'!DB25</f>
        <v>#VALUE!</v>
      </c>
    </row>
    <row r="7" spans="1:105" x14ac:dyDescent="0.25">
      <c r="A7" t="s">
        <v>0</v>
      </c>
      <c r="B7" t="s">
        <v>4</v>
      </c>
      <c r="C7">
        <v>20</v>
      </c>
      <c r="D7" s="3" t="s">
        <v>2</v>
      </c>
      <c r="E7" t="e">
        <f>'Normal gait variables'!F26</f>
        <v>#VALUE!</v>
      </c>
      <c r="F7" t="e">
        <f>'Normal gait variables'!G26</f>
        <v>#VALUE!</v>
      </c>
      <c r="G7" t="e">
        <f>'Normal gait variables'!H26</f>
        <v>#VALUE!</v>
      </c>
      <c r="H7" t="e">
        <f>'Normal gait variables'!I26</f>
        <v>#VALUE!</v>
      </c>
      <c r="I7" t="e">
        <f>'Normal gait variables'!J26</f>
        <v>#VALUE!</v>
      </c>
      <c r="J7" t="e">
        <f>'Normal gait variables'!K26</f>
        <v>#VALUE!</v>
      </c>
      <c r="K7" t="e">
        <f>'Normal gait variables'!L26</f>
        <v>#VALUE!</v>
      </c>
      <c r="L7" t="e">
        <f>'Normal gait variables'!M26</f>
        <v>#VALUE!</v>
      </c>
      <c r="M7" t="e">
        <f>'Normal gait variables'!N26</f>
        <v>#VALUE!</v>
      </c>
      <c r="N7" t="e">
        <f>'Normal gait variables'!O26</f>
        <v>#VALUE!</v>
      </c>
      <c r="O7" t="e">
        <f>'Normal gait variables'!P26</f>
        <v>#VALUE!</v>
      </c>
      <c r="P7" t="e">
        <f>'Normal gait variables'!Q26</f>
        <v>#VALUE!</v>
      </c>
      <c r="Q7" t="e">
        <f>'Normal gait variables'!R26</f>
        <v>#VALUE!</v>
      </c>
      <c r="R7" t="e">
        <f>'Normal gait variables'!S26</f>
        <v>#VALUE!</v>
      </c>
      <c r="S7" t="e">
        <f>'Normal gait variables'!T26</f>
        <v>#VALUE!</v>
      </c>
      <c r="T7" t="e">
        <f>'Normal gait variables'!U26</f>
        <v>#VALUE!</v>
      </c>
      <c r="U7" t="e">
        <f>'Normal gait variables'!V26</f>
        <v>#VALUE!</v>
      </c>
      <c r="V7" t="e">
        <f>'Normal gait variables'!W26</f>
        <v>#VALUE!</v>
      </c>
      <c r="W7" t="e">
        <f>'Normal gait variables'!X26</f>
        <v>#VALUE!</v>
      </c>
      <c r="X7" t="e">
        <f>'Normal gait variables'!Y26</f>
        <v>#VALUE!</v>
      </c>
      <c r="Y7" t="e">
        <f>'Normal gait variables'!Z26</f>
        <v>#VALUE!</v>
      </c>
      <c r="Z7" t="e">
        <f>'Normal gait variables'!AA26</f>
        <v>#VALUE!</v>
      </c>
      <c r="AA7" t="e">
        <f>'Normal gait variables'!AB26</f>
        <v>#VALUE!</v>
      </c>
      <c r="AB7" t="e">
        <f>'Normal gait variables'!AC26</f>
        <v>#VALUE!</v>
      </c>
      <c r="AC7" t="e">
        <f>'Normal gait variables'!AD26</f>
        <v>#VALUE!</v>
      </c>
      <c r="AD7" t="e">
        <f>'Normal gait variables'!AE26</f>
        <v>#VALUE!</v>
      </c>
      <c r="AE7" t="e">
        <f>'Normal gait variables'!AF26</f>
        <v>#VALUE!</v>
      </c>
      <c r="AF7" t="e">
        <f>'Normal gait variables'!AG26</f>
        <v>#VALUE!</v>
      </c>
      <c r="AG7" t="e">
        <f>'Normal gait variables'!AH26</f>
        <v>#VALUE!</v>
      </c>
      <c r="AH7" t="e">
        <f>'Normal gait variables'!AI26</f>
        <v>#VALUE!</v>
      </c>
      <c r="AI7" t="e">
        <f>'Normal gait variables'!AJ26</f>
        <v>#VALUE!</v>
      </c>
      <c r="AJ7" t="e">
        <f>'Normal gait variables'!AK26</f>
        <v>#VALUE!</v>
      </c>
      <c r="AK7" t="e">
        <f>'Normal gait variables'!AL26</f>
        <v>#VALUE!</v>
      </c>
      <c r="AL7" t="e">
        <f>'Normal gait variables'!AM26</f>
        <v>#VALUE!</v>
      </c>
      <c r="AM7" t="e">
        <f>'Normal gait variables'!AN26</f>
        <v>#VALUE!</v>
      </c>
      <c r="AN7" t="e">
        <f>'Normal gait variables'!AO26</f>
        <v>#VALUE!</v>
      </c>
      <c r="AO7" t="e">
        <f>'Normal gait variables'!AP26</f>
        <v>#VALUE!</v>
      </c>
      <c r="AP7" t="e">
        <f>'Normal gait variables'!AQ26</f>
        <v>#VALUE!</v>
      </c>
      <c r="AQ7" t="e">
        <f>'Normal gait variables'!AR26</f>
        <v>#VALUE!</v>
      </c>
      <c r="AR7" t="e">
        <f>'Normal gait variables'!AS26</f>
        <v>#VALUE!</v>
      </c>
      <c r="AS7" t="e">
        <f>'Normal gait variables'!AT26</f>
        <v>#VALUE!</v>
      </c>
      <c r="AT7" t="e">
        <f>'Normal gait variables'!AU26</f>
        <v>#VALUE!</v>
      </c>
      <c r="AU7" t="e">
        <f>'Normal gait variables'!AV26</f>
        <v>#VALUE!</v>
      </c>
      <c r="AV7" t="e">
        <f>'Normal gait variables'!AW26</f>
        <v>#VALUE!</v>
      </c>
      <c r="AW7" t="e">
        <f>'Normal gait variables'!AX26</f>
        <v>#VALUE!</v>
      </c>
      <c r="AX7" t="e">
        <f>'Normal gait variables'!AY26</f>
        <v>#VALUE!</v>
      </c>
      <c r="AY7" t="e">
        <f>'Normal gait variables'!AZ26</f>
        <v>#VALUE!</v>
      </c>
      <c r="AZ7" t="e">
        <f>'Normal gait variables'!BA26</f>
        <v>#VALUE!</v>
      </c>
      <c r="BA7" t="e">
        <f>'Normal gait variables'!BB26</f>
        <v>#VALUE!</v>
      </c>
      <c r="BB7" t="e">
        <f>'Normal gait variables'!BC26</f>
        <v>#VALUE!</v>
      </c>
      <c r="BC7" t="e">
        <f>'Normal gait variables'!BD26</f>
        <v>#VALUE!</v>
      </c>
      <c r="BD7" t="e">
        <f>'Normal gait variables'!BE26</f>
        <v>#VALUE!</v>
      </c>
      <c r="BE7" t="e">
        <f>'Normal gait variables'!BF26</f>
        <v>#VALUE!</v>
      </c>
      <c r="BF7" t="e">
        <f>'Normal gait variables'!BG26</f>
        <v>#VALUE!</v>
      </c>
      <c r="BG7" t="e">
        <f>'Normal gait variables'!BH26</f>
        <v>#VALUE!</v>
      </c>
      <c r="BH7" t="e">
        <f>'Normal gait variables'!BI26</f>
        <v>#VALUE!</v>
      </c>
      <c r="BI7" t="e">
        <f>'Normal gait variables'!BJ26</f>
        <v>#VALUE!</v>
      </c>
      <c r="BJ7" t="e">
        <f>'Normal gait variables'!BK26</f>
        <v>#VALUE!</v>
      </c>
      <c r="BK7" t="e">
        <f>'Normal gait variables'!BL26</f>
        <v>#VALUE!</v>
      </c>
      <c r="BL7" t="e">
        <f>'Normal gait variables'!BM26</f>
        <v>#VALUE!</v>
      </c>
      <c r="BM7" t="e">
        <f>'Normal gait variables'!BN26</f>
        <v>#VALUE!</v>
      </c>
      <c r="BN7" t="e">
        <f>'Normal gait variables'!BO26</f>
        <v>#VALUE!</v>
      </c>
      <c r="BO7" t="e">
        <f>'Normal gait variables'!BP26</f>
        <v>#VALUE!</v>
      </c>
      <c r="BP7" t="e">
        <f>'Normal gait variables'!BQ26</f>
        <v>#VALUE!</v>
      </c>
      <c r="BQ7" t="e">
        <f>'Normal gait variables'!BR26</f>
        <v>#VALUE!</v>
      </c>
      <c r="BR7" t="e">
        <f>'Normal gait variables'!BS26</f>
        <v>#VALUE!</v>
      </c>
      <c r="BS7" t="e">
        <f>'Normal gait variables'!BT26</f>
        <v>#VALUE!</v>
      </c>
      <c r="BT7" t="e">
        <f>'Normal gait variables'!BU26</f>
        <v>#VALUE!</v>
      </c>
      <c r="BU7" t="e">
        <f>'Normal gait variables'!BV26</f>
        <v>#VALUE!</v>
      </c>
      <c r="BV7" t="e">
        <f>'Normal gait variables'!BW26</f>
        <v>#VALUE!</v>
      </c>
      <c r="BW7" t="e">
        <f>'Normal gait variables'!BX26</f>
        <v>#VALUE!</v>
      </c>
      <c r="BX7" t="e">
        <f>'Normal gait variables'!BY26</f>
        <v>#VALUE!</v>
      </c>
      <c r="BY7" t="e">
        <f>'Normal gait variables'!BZ26</f>
        <v>#VALUE!</v>
      </c>
      <c r="BZ7" t="e">
        <f>'Normal gait variables'!CA26</f>
        <v>#VALUE!</v>
      </c>
      <c r="CA7" t="e">
        <f>'Normal gait variables'!CB26</f>
        <v>#VALUE!</v>
      </c>
      <c r="CB7" t="e">
        <f>'Normal gait variables'!CC26</f>
        <v>#VALUE!</v>
      </c>
      <c r="CC7" t="e">
        <f>'Normal gait variables'!CD26</f>
        <v>#VALUE!</v>
      </c>
      <c r="CD7" t="e">
        <f>'Normal gait variables'!CE26</f>
        <v>#VALUE!</v>
      </c>
      <c r="CE7" t="e">
        <f>'Normal gait variables'!CF26</f>
        <v>#VALUE!</v>
      </c>
      <c r="CF7" t="e">
        <f>'Normal gait variables'!CG26</f>
        <v>#VALUE!</v>
      </c>
      <c r="CG7" t="e">
        <f>'Normal gait variables'!CH26</f>
        <v>#VALUE!</v>
      </c>
      <c r="CH7" t="e">
        <f>'Normal gait variables'!CI26</f>
        <v>#VALUE!</v>
      </c>
      <c r="CI7" t="e">
        <f>'Normal gait variables'!CJ26</f>
        <v>#VALUE!</v>
      </c>
      <c r="CJ7" t="e">
        <f>'Normal gait variables'!CK26</f>
        <v>#VALUE!</v>
      </c>
      <c r="CK7" t="e">
        <f>'Normal gait variables'!CL26</f>
        <v>#VALUE!</v>
      </c>
      <c r="CL7" t="e">
        <f>'Normal gait variables'!CM26</f>
        <v>#VALUE!</v>
      </c>
      <c r="CM7" t="e">
        <f>'Normal gait variables'!CN26</f>
        <v>#VALUE!</v>
      </c>
      <c r="CN7" t="e">
        <f>'Normal gait variables'!CO26</f>
        <v>#VALUE!</v>
      </c>
      <c r="CO7" t="e">
        <f>'Normal gait variables'!CP26</f>
        <v>#VALUE!</v>
      </c>
      <c r="CP7" t="e">
        <f>'Normal gait variables'!CQ26</f>
        <v>#VALUE!</v>
      </c>
      <c r="CQ7" t="e">
        <f>'Normal gait variables'!CR26</f>
        <v>#VALUE!</v>
      </c>
      <c r="CR7" t="e">
        <f>'Normal gait variables'!CS26</f>
        <v>#VALUE!</v>
      </c>
      <c r="CS7" t="e">
        <f>'Normal gait variables'!CT26</f>
        <v>#VALUE!</v>
      </c>
      <c r="CT7" t="e">
        <f>'Normal gait variables'!CU26</f>
        <v>#VALUE!</v>
      </c>
      <c r="CU7" t="e">
        <f>'Normal gait variables'!CV26</f>
        <v>#VALUE!</v>
      </c>
      <c r="CV7" t="e">
        <f>'Normal gait variables'!CW26</f>
        <v>#VALUE!</v>
      </c>
      <c r="CW7" t="e">
        <f>'Normal gait variables'!CX26</f>
        <v>#VALUE!</v>
      </c>
      <c r="CX7" t="e">
        <f>'Normal gait variables'!CY26</f>
        <v>#VALUE!</v>
      </c>
      <c r="CY7" t="e">
        <f>'Normal gait variables'!CZ26</f>
        <v>#VALUE!</v>
      </c>
      <c r="CZ7" t="e">
        <f>'Normal gait variables'!DA26</f>
        <v>#VALUE!</v>
      </c>
      <c r="DA7" t="e">
        <f>'Normal gait variables'!DB26</f>
        <v>#VALUE!</v>
      </c>
    </row>
    <row r="8" spans="1:105" x14ac:dyDescent="0.25">
      <c r="A8" t="s">
        <v>0</v>
      </c>
      <c r="B8" t="s">
        <v>1</v>
      </c>
      <c r="C8">
        <v>20</v>
      </c>
      <c r="D8" s="3" t="s">
        <v>2</v>
      </c>
      <c r="E8" t="e">
        <f>'Normal gait variables'!F27</f>
        <v>#VALUE!</v>
      </c>
      <c r="F8" t="e">
        <f>'Normal gait variables'!G27</f>
        <v>#VALUE!</v>
      </c>
      <c r="G8" t="e">
        <f>'Normal gait variables'!H27</f>
        <v>#VALUE!</v>
      </c>
      <c r="H8" t="e">
        <f>'Normal gait variables'!I27</f>
        <v>#VALUE!</v>
      </c>
      <c r="I8" t="e">
        <f>'Normal gait variables'!J27</f>
        <v>#VALUE!</v>
      </c>
      <c r="J8" t="e">
        <f>'Normal gait variables'!K27</f>
        <v>#VALUE!</v>
      </c>
      <c r="K8" t="e">
        <f>'Normal gait variables'!L27</f>
        <v>#VALUE!</v>
      </c>
      <c r="L8" t="e">
        <f>'Normal gait variables'!M27</f>
        <v>#VALUE!</v>
      </c>
      <c r="M8" t="e">
        <f>'Normal gait variables'!N27</f>
        <v>#VALUE!</v>
      </c>
      <c r="N8" t="e">
        <f>'Normal gait variables'!O27</f>
        <v>#VALUE!</v>
      </c>
      <c r="O8" t="e">
        <f>'Normal gait variables'!P27</f>
        <v>#VALUE!</v>
      </c>
      <c r="P8" t="e">
        <f>'Normal gait variables'!Q27</f>
        <v>#VALUE!</v>
      </c>
      <c r="Q8" t="e">
        <f>'Normal gait variables'!R27</f>
        <v>#VALUE!</v>
      </c>
      <c r="R8" t="e">
        <f>'Normal gait variables'!S27</f>
        <v>#VALUE!</v>
      </c>
      <c r="S8" t="e">
        <f>'Normal gait variables'!T27</f>
        <v>#VALUE!</v>
      </c>
      <c r="T8" t="e">
        <f>'Normal gait variables'!U27</f>
        <v>#VALUE!</v>
      </c>
      <c r="U8" t="e">
        <f>'Normal gait variables'!V27</f>
        <v>#VALUE!</v>
      </c>
      <c r="V8" t="e">
        <f>'Normal gait variables'!W27</f>
        <v>#VALUE!</v>
      </c>
      <c r="W8" t="e">
        <f>'Normal gait variables'!X27</f>
        <v>#VALUE!</v>
      </c>
      <c r="X8" t="e">
        <f>'Normal gait variables'!Y27</f>
        <v>#VALUE!</v>
      </c>
      <c r="Y8" t="e">
        <f>'Normal gait variables'!Z27</f>
        <v>#VALUE!</v>
      </c>
      <c r="Z8" t="e">
        <f>'Normal gait variables'!AA27</f>
        <v>#VALUE!</v>
      </c>
      <c r="AA8" t="e">
        <f>'Normal gait variables'!AB27</f>
        <v>#VALUE!</v>
      </c>
      <c r="AB8" t="e">
        <f>'Normal gait variables'!AC27</f>
        <v>#VALUE!</v>
      </c>
      <c r="AC8" t="e">
        <f>'Normal gait variables'!AD27</f>
        <v>#VALUE!</v>
      </c>
      <c r="AD8" t="e">
        <f>'Normal gait variables'!AE27</f>
        <v>#VALUE!</v>
      </c>
      <c r="AE8" t="e">
        <f>'Normal gait variables'!AF27</f>
        <v>#VALUE!</v>
      </c>
      <c r="AF8" t="e">
        <f>'Normal gait variables'!AG27</f>
        <v>#VALUE!</v>
      </c>
      <c r="AG8" t="e">
        <f>'Normal gait variables'!AH27</f>
        <v>#VALUE!</v>
      </c>
      <c r="AH8" t="e">
        <f>'Normal gait variables'!AI27</f>
        <v>#VALUE!</v>
      </c>
      <c r="AI8" t="e">
        <f>'Normal gait variables'!AJ27</f>
        <v>#VALUE!</v>
      </c>
      <c r="AJ8" t="e">
        <f>'Normal gait variables'!AK27</f>
        <v>#VALUE!</v>
      </c>
      <c r="AK8" t="e">
        <f>'Normal gait variables'!AL27</f>
        <v>#VALUE!</v>
      </c>
      <c r="AL8" t="e">
        <f>'Normal gait variables'!AM27</f>
        <v>#VALUE!</v>
      </c>
      <c r="AM8" t="e">
        <f>'Normal gait variables'!AN27</f>
        <v>#VALUE!</v>
      </c>
      <c r="AN8" t="e">
        <f>'Normal gait variables'!AO27</f>
        <v>#VALUE!</v>
      </c>
      <c r="AO8" t="e">
        <f>'Normal gait variables'!AP27</f>
        <v>#VALUE!</v>
      </c>
      <c r="AP8" t="e">
        <f>'Normal gait variables'!AQ27</f>
        <v>#VALUE!</v>
      </c>
      <c r="AQ8" t="e">
        <f>'Normal gait variables'!AR27</f>
        <v>#VALUE!</v>
      </c>
      <c r="AR8" t="e">
        <f>'Normal gait variables'!AS27</f>
        <v>#VALUE!</v>
      </c>
      <c r="AS8" t="e">
        <f>'Normal gait variables'!AT27</f>
        <v>#VALUE!</v>
      </c>
      <c r="AT8" t="e">
        <f>'Normal gait variables'!AU27</f>
        <v>#VALUE!</v>
      </c>
      <c r="AU8" t="e">
        <f>'Normal gait variables'!AV27</f>
        <v>#VALUE!</v>
      </c>
      <c r="AV8" t="e">
        <f>'Normal gait variables'!AW27</f>
        <v>#VALUE!</v>
      </c>
      <c r="AW8" t="e">
        <f>'Normal gait variables'!AX27</f>
        <v>#VALUE!</v>
      </c>
      <c r="AX8" t="e">
        <f>'Normal gait variables'!AY27</f>
        <v>#VALUE!</v>
      </c>
      <c r="AY8" t="e">
        <f>'Normal gait variables'!AZ27</f>
        <v>#VALUE!</v>
      </c>
      <c r="AZ8" t="e">
        <f>'Normal gait variables'!BA27</f>
        <v>#VALUE!</v>
      </c>
      <c r="BA8" t="e">
        <f>'Normal gait variables'!BB27</f>
        <v>#VALUE!</v>
      </c>
      <c r="BB8" t="e">
        <f>'Normal gait variables'!BC27</f>
        <v>#VALUE!</v>
      </c>
      <c r="BC8" t="e">
        <f>'Normal gait variables'!BD27</f>
        <v>#VALUE!</v>
      </c>
      <c r="BD8" t="e">
        <f>'Normal gait variables'!BE27</f>
        <v>#VALUE!</v>
      </c>
      <c r="BE8" t="e">
        <f>'Normal gait variables'!BF27</f>
        <v>#VALUE!</v>
      </c>
      <c r="BF8" t="e">
        <f>'Normal gait variables'!BG27</f>
        <v>#VALUE!</v>
      </c>
      <c r="BG8" t="e">
        <f>'Normal gait variables'!BH27</f>
        <v>#VALUE!</v>
      </c>
      <c r="BH8" t="e">
        <f>'Normal gait variables'!BI27</f>
        <v>#VALUE!</v>
      </c>
      <c r="BI8" t="e">
        <f>'Normal gait variables'!BJ27</f>
        <v>#VALUE!</v>
      </c>
      <c r="BJ8" t="e">
        <f>'Normal gait variables'!BK27</f>
        <v>#VALUE!</v>
      </c>
      <c r="BK8" t="e">
        <f>'Normal gait variables'!BL27</f>
        <v>#VALUE!</v>
      </c>
      <c r="BL8" t="e">
        <f>'Normal gait variables'!BM27</f>
        <v>#VALUE!</v>
      </c>
      <c r="BM8" t="e">
        <f>'Normal gait variables'!BN27</f>
        <v>#VALUE!</v>
      </c>
      <c r="BN8" t="e">
        <f>'Normal gait variables'!BO27</f>
        <v>#VALUE!</v>
      </c>
      <c r="BO8" t="e">
        <f>'Normal gait variables'!BP27</f>
        <v>#VALUE!</v>
      </c>
      <c r="BP8" t="e">
        <f>'Normal gait variables'!BQ27</f>
        <v>#VALUE!</v>
      </c>
      <c r="BQ8" t="e">
        <f>'Normal gait variables'!BR27</f>
        <v>#VALUE!</v>
      </c>
      <c r="BR8" t="e">
        <f>'Normal gait variables'!BS27</f>
        <v>#VALUE!</v>
      </c>
      <c r="BS8" t="e">
        <f>'Normal gait variables'!BT27</f>
        <v>#VALUE!</v>
      </c>
      <c r="BT8" t="e">
        <f>'Normal gait variables'!BU27</f>
        <v>#VALUE!</v>
      </c>
      <c r="BU8" t="e">
        <f>'Normal gait variables'!BV27</f>
        <v>#VALUE!</v>
      </c>
      <c r="BV8" t="e">
        <f>'Normal gait variables'!BW27</f>
        <v>#VALUE!</v>
      </c>
      <c r="BW8" t="e">
        <f>'Normal gait variables'!BX27</f>
        <v>#VALUE!</v>
      </c>
      <c r="BX8" t="e">
        <f>'Normal gait variables'!BY27</f>
        <v>#VALUE!</v>
      </c>
      <c r="BY8" t="e">
        <f>'Normal gait variables'!BZ27</f>
        <v>#VALUE!</v>
      </c>
      <c r="BZ8" t="e">
        <f>'Normal gait variables'!CA27</f>
        <v>#VALUE!</v>
      </c>
      <c r="CA8" t="e">
        <f>'Normal gait variables'!CB27</f>
        <v>#VALUE!</v>
      </c>
      <c r="CB8" t="e">
        <f>'Normal gait variables'!CC27</f>
        <v>#VALUE!</v>
      </c>
      <c r="CC8" t="e">
        <f>'Normal gait variables'!CD27</f>
        <v>#VALUE!</v>
      </c>
      <c r="CD8" t="e">
        <f>'Normal gait variables'!CE27</f>
        <v>#VALUE!</v>
      </c>
      <c r="CE8" t="e">
        <f>'Normal gait variables'!CF27</f>
        <v>#VALUE!</v>
      </c>
      <c r="CF8" t="e">
        <f>'Normal gait variables'!CG27</f>
        <v>#VALUE!</v>
      </c>
      <c r="CG8" t="e">
        <f>'Normal gait variables'!CH27</f>
        <v>#VALUE!</v>
      </c>
      <c r="CH8" t="e">
        <f>'Normal gait variables'!CI27</f>
        <v>#VALUE!</v>
      </c>
      <c r="CI8" t="e">
        <f>'Normal gait variables'!CJ27</f>
        <v>#VALUE!</v>
      </c>
      <c r="CJ8" t="e">
        <f>'Normal gait variables'!CK27</f>
        <v>#VALUE!</v>
      </c>
      <c r="CK8" t="e">
        <f>'Normal gait variables'!CL27</f>
        <v>#VALUE!</v>
      </c>
      <c r="CL8" t="e">
        <f>'Normal gait variables'!CM27</f>
        <v>#VALUE!</v>
      </c>
      <c r="CM8" t="e">
        <f>'Normal gait variables'!CN27</f>
        <v>#VALUE!</v>
      </c>
      <c r="CN8" t="e">
        <f>'Normal gait variables'!CO27</f>
        <v>#VALUE!</v>
      </c>
      <c r="CO8" t="e">
        <f>'Normal gait variables'!CP27</f>
        <v>#VALUE!</v>
      </c>
      <c r="CP8" t="e">
        <f>'Normal gait variables'!CQ27</f>
        <v>#VALUE!</v>
      </c>
      <c r="CQ8" t="e">
        <f>'Normal gait variables'!CR27</f>
        <v>#VALUE!</v>
      </c>
      <c r="CR8" t="e">
        <f>'Normal gait variables'!CS27</f>
        <v>#VALUE!</v>
      </c>
      <c r="CS8" t="e">
        <f>'Normal gait variables'!CT27</f>
        <v>#VALUE!</v>
      </c>
      <c r="CT8" t="e">
        <f>'Normal gait variables'!CU27</f>
        <v>#VALUE!</v>
      </c>
      <c r="CU8" t="e">
        <f>'Normal gait variables'!CV27</f>
        <v>#VALUE!</v>
      </c>
      <c r="CV8" t="e">
        <f>'Normal gait variables'!CW27</f>
        <v>#VALUE!</v>
      </c>
      <c r="CW8" t="e">
        <f>'Normal gait variables'!CX27</f>
        <v>#VALUE!</v>
      </c>
      <c r="CX8" t="e">
        <f>'Normal gait variables'!CY27</f>
        <v>#VALUE!</v>
      </c>
      <c r="CY8" t="e">
        <f>'Normal gait variables'!CZ27</f>
        <v>#VALUE!</v>
      </c>
      <c r="CZ8" t="e">
        <f>'Normal gait variables'!DA27</f>
        <v>#VALUE!</v>
      </c>
      <c r="DA8" t="e">
        <f>'Normal gait variables'!DB27</f>
        <v>#VALUE!</v>
      </c>
    </row>
    <row r="9" spans="1:105" x14ac:dyDescent="0.25">
      <c r="A9" t="s">
        <v>0</v>
      </c>
      <c r="B9" t="s">
        <v>3</v>
      </c>
      <c r="C9">
        <v>20</v>
      </c>
      <c r="D9" s="3" t="s">
        <v>2</v>
      </c>
      <c r="E9" t="e">
        <f>'Normal gait variables'!F28</f>
        <v>#VALUE!</v>
      </c>
      <c r="F9" t="e">
        <f>'Normal gait variables'!G28</f>
        <v>#VALUE!</v>
      </c>
      <c r="G9" t="e">
        <f>'Normal gait variables'!H28</f>
        <v>#VALUE!</v>
      </c>
      <c r="H9" t="e">
        <f>'Normal gait variables'!I28</f>
        <v>#VALUE!</v>
      </c>
      <c r="I9" t="e">
        <f>'Normal gait variables'!J28</f>
        <v>#VALUE!</v>
      </c>
      <c r="J9" t="e">
        <f>'Normal gait variables'!K28</f>
        <v>#VALUE!</v>
      </c>
      <c r="K9" t="e">
        <f>'Normal gait variables'!L28</f>
        <v>#VALUE!</v>
      </c>
      <c r="L9" t="e">
        <f>'Normal gait variables'!M28</f>
        <v>#VALUE!</v>
      </c>
      <c r="M9" t="e">
        <f>'Normal gait variables'!N28</f>
        <v>#VALUE!</v>
      </c>
      <c r="N9" t="e">
        <f>'Normal gait variables'!O28</f>
        <v>#VALUE!</v>
      </c>
      <c r="O9" t="e">
        <f>'Normal gait variables'!P28</f>
        <v>#VALUE!</v>
      </c>
      <c r="P9" t="e">
        <f>'Normal gait variables'!Q28</f>
        <v>#VALUE!</v>
      </c>
      <c r="Q9" t="e">
        <f>'Normal gait variables'!R28</f>
        <v>#VALUE!</v>
      </c>
      <c r="R9" t="e">
        <f>'Normal gait variables'!S28</f>
        <v>#VALUE!</v>
      </c>
      <c r="S9" t="e">
        <f>'Normal gait variables'!T28</f>
        <v>#VALUE!</v>
      </c>
      <c r="T9" t="e">
        <f>'Normal gait variables'!U28</f>
        <v>#VALUE!</v>
      </c>
      <c r="U9" t="e">
        <f>'Normal gait variables'!V28</f>
        <v>#VALUE!</v>
      </c>
      <c r="V9" t="e">
        <f>'Normal gait variables'!W28</f>
        <v>#VALUE!</v>
      </c>
      <c r="W9" t="e">
        <f>'Normal gait variables'!X28</f>
        <v>#VALUE!</v>
      </c>
      <c r="X9" t="e">
        <f>'Normal gait variables'!Y28</f>
        <v>#VALUE!</v>
      </c>
      <c r="Y9" t="e">
        <f>'Normal gait variables'!Z28</f>
        <v>#VALUE!</v>
      </c>
      <c r="Z9" t="e">
        <f>'Normal gait variables'!AA28</f>
        <v>#VALUE!</v>
      </c>
      <c r="AA9" t="e">
        <f>'Normal gait variables'!AB28</f>
        <v>#VALUE!</v>
      </c>
      <c r="AB9" t="e">
        <f>'Normal gait variables'!AC28</f>
        <v>#VALUE!</v>
      </c>
      <c r="AC9" t="e">
        <f>'Normal gait variables'!AD28</f>
        <v>#VALUE!</v>
      </c>
      <c r="AD9" t="e">
        <f>'Normal gait variables'!AE28</f>
        <v>#VALUE!</v>
      </c>
      <c r="AE9" t="e">
        <f>'Normal gait variables'!AF28</f>
        <v>#VALUE!</v>
      </c>
      <c r="AF9" t="e">
        <f>'Normal gait variables'!AG28</f>
        <v>#VALUE!</v>
      </c>
      <c r="AG9" t="e">
        <f>'Normal gait variables'!AH28</f>
        <v>#VALUE!</v>
      </c>
      <c r="AH9" t="e">
        <f>'Normal gait variables'!AI28</f>
        <v>#VALUE!</v>
      </c>
      <c r="AI9" t="e">
        <f>'Normal gait variables'!AJ28</f>
        <v>#VALUE!</v>
      </c>
      <c r="AJ9" t="e">
        <f>'Normal gait variables'!AK28</f>
        <v>#VALUE!</v>
      </c>
      <c r="AK9" t="e">
        <f>'Normal gait variables'!AL28</f>
        <v>#VALUE!</v>
      </c>
      <c r="AL9" t="e">
        <f>'Normal gait variables'!AM28</f>
        <v>#VALUE!</v>
      </c>
      <c r="AM9" t="e">
        <f>'Normal gait variables'!AN28</f>
        <v>#VALUE!</v>
      </c>
      <c r="AN9" t="e">
        <f>'Normal gait variables'!AO28</f>
        <v>#VALUE!</v>
      </c>
      <c r="AO9" t="e">
        <f>'Normal gait variables'!AP28</f>
        <v>#VALUE!</v>
      </c>
      <c r="AP9" t="e">
        <f>'Normal gait variables'!AQ28</f>
        <v>#VALUE!</v>
      </c>
      <c r="AQ9" t="e">
        <f>'Normal gait variables'!AR28</f>
        <v>#VALUE!</v>
      </c>
      <c r="AR9" t="e">
        <f>'Normal gait variables'!AS28</f>
        <v>#VALUE!</v>
      </c>
      <c r="AS9" t="e">
        <f>'Normal gait variables'!AT28</f>
        <v>#VALUE!</v>
      </c>
      <c r="AT9" t="e">
        <f>'Normal gait variables'!AU28</f>
        <v>#VALUE!</v>
      </c>
      <c r="AU9" t="e">
        <f>'Normal gait variables'!AV28</f>
        <v>#VALUE!</v>
      </c>
      <c r="AV9" t="e">
        <f>'Normal gait variables'!AW28</f>
        <v>#VALUE!</v>
      </c>
      <c r="AW9" t="e">
        <f>'Normal gait variables'!AX28</f>
        <v>#VALUE!</v>
      </c>
      <c r="AX9" t="e">
        <f>'Normal gait variables'!AY28</f>
        <v>#VALUE!</v>
      </c>
      <c r="AY9" t="e">
        <f>'Normal gait variables'!AZ28</f>
        <v>#VALUE!</v>
      </c>
      <c r="AZ9" t="e">
        <f>'Normal gait variables'!BA28</f>
        <v>#VALUE!</v>
      </c>
      <c r="BA9" t="e">
        <f>'Normal gait variables'!BB28</f>
        <v>#VALUE!</v>
      </c>
      <c r="BB9" t="e">
        <f>'Normal gait variables'!BC28</f>
        <v>#VALUE!</v>
      </c>
      <c r="BC9" t="e">
        <f>'Normal gait variables'!BD28</f>
        <v>#VALUE!</v>
      </c>
      <c r="BD9" t="e">
        <f>'Normal gait variables'!BE28</f>
        <v>#VALUE!</v>
      </c>
      <c r="BE9" t="e">
        <f>'Normal gait variables'!BF28</f>
        <v>#VALUE!</v>
      </c>
      <c r="BF9" t="e">
        <f>'Normal gait variables'!BG28</f>
        <v>#VALUE!</v>
      </c>
      <c r="BG9" t="e">
        <f>'Normal gait variables'!BH28</f>
        <v>#VALUE!</v>
      </c>
      <c r="BH9" t="e">
        <f>'Normal gait variables'!BI28</f>
        <v>#VALUE!</v>
      </c>
      <c r="BI9" t="e">
        <f>'Normal gait variables'!BJ28</f>
        <v>#VALUE!</v>
      </c>
      <c r="BJ9" t="e">
        <f>'Normal gait variables'!BK28</f>
        <v>#VALUE!</v>
      </c>
      <c r="BK9" t="e">
        <f>'Normal gait variables'!BL28</f>
        <v>#VALUE!</v>
      </c>
      <c r="BL9" t="e">
        <f>'Normal gait variables'!BM28</f>
        <v>#VALUE!</v>
      </c>
      <c r="BM9" t="e">
        <f>'Normal gait variables'!BN28</f>
        <v>#VALUE!</v>
      </c>
      <c r="BN9" t="e">
        <f>'Normal gait variables'!BO28</f>
        <v>#VALUE!</v>
      </c>
      <c r="BO9" t="e">
        <f>'Normal gait variables'!BP28</f>
        <v>#VALUE!</v>
      </c>
      <c r="BP9" t="e">
        <f>'Normal gait variables'!BQ28</f>
        <v>#VALUE!</v>
      </c>
      <c r="BQ9" t="e">
        <f>'Normal gait variables'!BR28</f>
        <v>#VALUE!</v>
      </c>
      <c r="BR9" t="e">
        <f>'Normal gait variables'!BS28</f>
        <v>#VALUE!</v>
      </c>
      <c r="BS9" t="e">
        <f>'Normal gait variables'!BT28</f>
        <v>#VALUE!</v>
      </c>
      <c r="BT9" t="e">
        <f>'Normal gait variables'!BU28</f>
        <v>#VALUE!</v>
      </c>
      <c r="BU9" t="e">
        <f>'Normal gait variables'!BV28</f>
        <v>#VALUE!</v>
      </c>
      <c r="BV9" t="e">
        <f>'Normal gait variables'!BW28</f>
        <v>#VALUE!</v>
      </c>
      <c r="BW9" t="e">
        <f>'Normal gait variables'!BX28</f>
        <v>#VALUE!</v>
      </c>
      <c r="BX9" t="e">
        <f>'Normal gait variables'!BY28</f>
        <v>#VALUE!</v>
      </c>
      <c r="BY9" t="e">
        <f>'Normal gait variables'!BZ28</f>
        <v>#VALUE!</v>
      </c>
      <c r="BZ9" t="e">
        <f>'Normal gait variables'!CA28</f>
        <v>#VALUE!</v>
      </c>
      <c r="CA9" t="e">
        <f>'Normal gait variables'!CB28</f>
        <v>#VALUE!</v>
      </c>
      <c r="CB9" t="e">
        <f>'Normal gait variables'!CC28</f>
        <v>#VALUE!</v>
      </c>
      <c r="CC9" t="e">
        <f>'Normal gait variables'!CD28</f>
        <v>#VALUE!</v>
      </c>
      <c r="CD9" t="e">
        <f>'Normal gait variables'!CE28</f>
        <v>#VALUE!</v>
      </c>
      <c r="CE9" t="e">
        <f>'Normal gait variables'!CF28</f>
        <v>#VALUE!</v>
      </c>
      <c r="CF9" t="e">
        <f>'Normal gait variables'!CG28</f>
        <v>#VALUE!</v>
      </c>
      <c r="CG9" t="e">
        <f>'Normal gait variables'!CH28</f>
        <v>#VALUE!</v>
      </c>
      <c r="CH9" t="e">
        <f>'Normal gait variables'!CI28</f>
        <v>#VALUE!</v>
      </c>
      <c r="CI9" t="e">
        <f>'Normal gait variables'!CJ28</f>
        <v>#VALUE!</v>
      </c>
      <c r="CJ9" t="e">
        <f>'Normal gait variables'!CK28</f>
        <v>#VALUE!</v>
      </c>
      <c r="CK9" t="e">
        <f>'Normal gait variables'!CL28</f>
        <v>#VALUE!</v>
      </c>
      <c r="CL9" t="e">
        <f>'Normal gait variables'!CM28</f>
        <v>#VALUE!</v>
      </c>
      <c r="CM9" t="e">
        <f>'Normal gait variables'!CN28</f>
        <v>#VALUE!</v>
      </c>
      <c r="CN9" t="e">
        <f>'Normal gait variables'!CO28</f>
        <v>#VALUE!</v>
      </c>
      <c r="CO9" t="e">
        <f>'Normal gait variables'!CP28</f>
        <v>#VALUE!</v>
      </c>
      <c r="CP9" t="e">
        <f>'Normal gait variables'!CQ28</f>
        <v>#VALUE!</v>
      </c>
      <c r="CQ9" t="e">
        <f>'Normal gait variables'!CR28</f>
        <v>#VALUE!</v>
      </c>
      <c r="CR9" t="e">
        <f>'Normal gait variables'!CS28</f>
        <v>#VALUE!</v>
      </c>
      <c r="CS9" t="e">
        <f>'Normal gait variables'!CT28</f>
        <v>#VALUE!</v>
      </c>
      <c r="CT9" t="e">
        <f>'Normal gait variables'!CU28</f>
        <v>#VALUE!</v>
      </c>
      <c r="CU9" t="e">
        <f>'Normal gait variables'!CV28</f>
        <v>#VALUE!</v>
      </c>
      <c r="CV9" t="e">
        <f>'Normal gait variables'!CW28</f>
        <v>#VALUE!</v>
      </c>
      <c r="CW9" t="e">
        <f>'Normal gait variables'!CX28</f>
        <v>#VALUE!</v>
      </c>
      <c r="CX9" t="e">
        <f>'Normal gait variables'!CY28</f>
        <v>#VALUE!</v>
      </c>
      <c r="CY9" t="e">
        <f>'Normal gait variables'!CZ28</f>
        <v>#VALUE!</v>
      </c>
      <c r="CZ9" t="e">
        <f>'Normal gait variables'!DA28</f>
        <v>#VALUE!</v>
      </c>
      <c r="DA9" t="e">
        <f>'Normal gait variables'!DB28</f>
        <v>#VALUE!</v>
      </c>
    </row>
    <row r="10" spans="1:105" x14ac:dyDescent="0.25">
      <c r="A10" t="s">
        <v>0</v>
      </c>
      <c r="B10" t="s">
        <v>4</v>
      </c>
      <c r="C10">
        <v>20</v>
      </c>
      <c r="D10" s="3" t="s">
        <v>2</v>
      </c>
      <c r="E10" t="e">
        <f>'Normal gait variables'!F29</f>
        <v>#VALUE!</v>
      </c>
      <c r="F10" t="e">
        <f>'Normal gait variables'!G29</f>
        <v>#VALUE!</v>
      </c>
      <c r="G10" t="e">
        <f>'Normal gait variables'!H29</f>
        <v>#VALUE!</v>
      </c>
      <c r="H10" t="e">
        <f>'Normal gait variables'!I29</f>
        <v>#VALUE!</v>
      </c>
      <c r="I10" t="e">
        <f>'Normal gait variables'!J29</f>
        <v>#VALUE!</v>
      </c>
      <c r="J10" t="e">
        <f>'Normal gait variables'!K29</f>
        <v>#VALUE!</v>
      </c>
      <c r="K10" t="e">
        <f>'Normal gait variables'!L29</f>
        <v>#VALUE!</v>
      </c>
      <c r="L10" t="e">
        <f>'Normal gait variables'!M29</f>
        <v>#VALUE!</v>
      </c>
      <c r="M10" t="e">
        <f>'Normal gait variables'!N29</f>
        <v>#VALUE!</v>
      </c>
      <c r="N10" t="e">
        <f>'Normal gait variables'!O29</f>
        <v>#VALUE!</v>
      </c>
      <c r="O10" t="e">
        <f>'Normal gait variables'!P29</f>
        <v>#VALUE!</v>
      </c>
      <c r="P10" t="e">
        <f>'Normal gait variables'!Q29</f>
        <v>#VALUE!</v>
      </c>
      <c r="Q10" t="e">
        <f>'Normal gait variables'!R29</f>
        <v>#VALUE!</v>
      </c>
      <c r="R10" t="e">
        <f>'Normal gait variables'!S29</f>
        <v>#VALUE!</v>
      </c>
      <c r="S10" t="e">
        <f>'Normal gait variables'!T29</f>
        <v>#VALUE!</v>
      </c>
      <c r="T10" t="e">
        <f>'Normal gait variables'!U29</f>
        <v>#VALUE!</v>
      </c>
      <c r="U10" t="e">
        <f>'Normal gait variables'!V29</f>
        <v>#VALUE!</v>
      </c>
      <c r="V10" t="e">
        <f>'Normal gait variables'!W29</f>
        <v>#VALUE!</v>
      </c>
      <c r="W10" t="e">
        <f>'Normal gait variables'!X29</f>
        <v>#VALUE!</v>
      </c>
      <c r="X10" t="e">
        <f>'Normal gait variables'!Y29</f>
        <v>#VALUE!</v>
      </c>
      <c r="Y10" t="e">
        <f>'Normal gait variables'!Z29</f>
        <v>#VALUE!</v>
      </c>
      <c r="Z10" t="e">
        <f>'Normal gait variables'!AA29</f>
        <v>#VALUE!</v>
      </c>
      <c r="AA10" t="e">
        <f>'Normal gait variables'!AB29</f>
        <v>#VALUE!</v>
      </c>
      <c r="AB10" t="e">
        <f>'Normal gait variables'!AC29</f>
        <v>#VALUE!</v>
      </c>
      <c r="AC10" t="e">
        <f>'Normal gait variables'!AD29</f>
        <v>#VALUE!</v>
      </c>
      <c r="AD10" t="e">
        <f>'Normal gait variables'!AE29</f>
        <v>#VALUE!</v>
      </c>
      <c r="AE10" t="e">
        <f>'Normal gait variables'!AF29</f>
        <v>#VALUE!</v>
      </c>
      <c r="AF10" t="e">
        <f>'Normal gait variables'!AG29</f>
        <v>#VALUE!</v>
      </c>
      <c r="AG10" t="e">
        <f>'Normal gait variables'!AH29</f>
        <v>#VALUE!</v>
      </c>
      <c r="AH10" t="e">
        <f>'Normal gait variables'!AI29</f>
        <v>#VALUE!</v>
      </c>
      <c r="AI10" t="e">
        <f>'Normal gait variables'!AJ29</f>
        <v>#VALUE!</v>
      </c>
      <c r="AJ10" t="e">
        <f>'Normal gait variables'!AK29</f>
        <v>#VALUE!</v>
      </c>
      <c r="AK10" t="e">
        <f>'Normal gait variables'!AL29</f>
        <v>#VALUE!</v>
      </c>
      <c r="AL10" t="e">
        <f>'Normal gait variables'!AM29</f>
        <v>#VALUE!</v>
      </c>
      <c r="AM10" t="e">
        <f>'Normal gait variables'!AN29</f>
        <v>#VALUE!</v>
      </c>
      <c r="AN10" t="e">
        <f>'Normal gait variables'!AO29</f>
        <v>#VALUE!</v>
      </c>
      <c r="AO10" t="e">
        <f>'Normal gait variables'!AP29</f>
        <v>#VALUE!</v>
      </c>
      <c r="AP10" t="e">
        <f>'Normal gait variables'!AQ29</f>
        <v>#VALUE!</v>
      </c>
      <c r="AQ10" t="e">
        <f>'Normal gait variables'!AR29</f>
        <v>#VALUE!</v>
      </c>
      <c r="AR10" t="e">
        <f>'Normal gait variables'!AS29</f>
        <v>#VALUE!</v>
      </c>
      <c r="AS10" t="e">
        <f>'Normal gait variables'!AT29</f>
        <v>#VALUE!</v>
      </c>
      <c r="AT10" t="e">
        <f>'Normal gait variables'!AU29</f>
        <v>#VALUE!</v>
      </c>
      <c r="AU10" t="e">
        <f>'Normal gait variables'!AV29</f>
        <v>#VALUE!</v>
      </c>
      <c r="AV10" t="e">
        <f>'Normal gait variables'!AW29</f>
        <v>#VALUE!</v>
      </c>
      <c r="AW10" t="e">
        <f>'Normal gait variables'!AX29</f>
        <v>#VALUE!</v>
      </c>
      <c r="AX10" t="e">
        <f>'Normal gait variables'!AY29</f>
        <v>#VALUE!</v>
      </c>
      <c r="AY10" t="e">
        <f>'Normal gait variables'!AZ29</f>
        <v>#VALUE!</v>
      </c>
      <c r="AZ10" t="e">
        <f>'Normal gait variables'!BA29</f>
        <v>#VALUE!</v>
      </c>
      <c r="BA10" t="e">
        <f>'Normal gait variables'!BB29</f>
        <v>#VALUE!</v>
      </c>
      <c r="BB10" t="e">
        <f>'Normal gait variables'!BC29</f>
        <v>#VALUE!</v>
      </c>
      <c r="BC10" t="e">
        <f>'Normal gait variables'!BD29</f>
        <v>#VALUE!</v>
      </c>
      <c r="BD10" t="e">
        <f>'Normal gait variables'!BE29</f>
        <v>#VALUE!</v>
      </c>
      <c r="BE10" t="e">
        <f>'Normal gait variables'!BF29</f>
        <v>#VALUE!</v>
      </c>
      <c r="BF10" t="e">
        <f>'Normal gait variables'!BG29</f>
        <v>#VALUE!</v>
      </c>
      <c r="BG10" t="e">
        <f>'Normal gait variables'!BH29</f>
        <v>#VALUE!</v>
      </c>
      <c r="BH10" t="e">
        <f>'Normal gait variables'!BI29</f>
        <v>#VALUE!</v>
      </c>
      <c r="BI10" t="e">
        <f>'Normal gait variables'!BJ29</f>
        <v>#VALUE!</v>
      </c>
      <c r="BJ10" t="e">
        <f>'Normal gait variables'!BK29</f>
        <v>#VALUE!</v>
      </c>
      <c r="BK10" t="e">
        <f>'Normal gait variables'!BL29</f>
        <v>#VALUE!</v>
      </c>
      <c r="BL10" t="e">
        <f>'Normal gait variables'!BM29</f>
        <v>#VALUE!</v>
      </c>
      <c r="BM10" t="e">
        <f>'Normal gait variables'!BN29</f>
        <v>#VALUE!</v>
      </c>
      <c r="BN10" t="e">
        <f>'Normal gait variables'!BO29</f>
        <v>#VALUE!</v>
      </c>
      <c r="BO10" t="e">
        <f>'Normal gait variables'!BP29</f>
        <v>#VALUE!</v>
      </c>
      <c r="BP10" t="e">
        <f>'Normal gait variables'!BQ29</f>
        <v>#VALUE!</v>
      </c>
      <c r="BQ10" t="e">
        <f>'Normal gait variables'!BR29</f>
        <v>#VALUE!</v>
      </c>
      <c r="BR10" t="e">
        <f>'Normal gait variables'!BS29</f>
        <v>#VALUE!</v>
      </c>
      <c r="BS10" t="e">
        <f>'Normal gait variables'!BT29</f>
        <v>#VALUE!</v>
      </c>
      <c r="BT10" t="e">
        <f>'Normal gait variables'!BU29</f>
        <v>#VALUE!</v>
      </c>
      <c r="BU10" t="e">
        <f>'Normal gait variables'!BV29</f>
        <v>#VALUE!</v>
      </c>
      <c r="BV10" t="e">
        <f>'Normal gait variables'!BW29</f>
        <v>#VALUE!</v>
      </c>
      <c r="BW10" t="e">
        <f>'Normal gait variables'!BX29</f>
        <v>#VALUE!</v>
      </c>
      <c r="BX10" t="e">
        <f>'Normal gait variables'!BY29</f>
        <v>#VALUE!</v>
      </c>
      <c r="BY10" t="e">
        <f>'Normal gait variables'!BZ29</f>
        <v>#VALUE!</v>
      </c>
      <c r="BZ10" t="e">
        <f>'Normal gait variables'!CA29</f>
        <v>#VALUE!</v>
      </c>
      <c r="CA10" t="e">
        <f>'Normal gait variables'!CB29</f>
        <v>#VALUE!</v>
      </c>
      <c r="CB10" t="e">
        <f>'Normal gait variables'!CC29</f>
        <v>#VALUE!</v>
      </c>
      <c r="CC10" t="e">
        <f>'Normal gait variables'!CD29</f>
        <v>#VALUE!</v>
      </c>
      <c r="CD10" t="e">
        <f>'Normal gait variables'!CE29</f>
        <v>#VALUE!</v>
      </c>
      <c r="CE10" t="e">
        <f>'Normal gait variables'!CF29</f>
        <v>#VALUE!</v>
      </c>
      <c r="CF10" t="e">
        <f>'Normal gait variables'!CG29</f>
        <v>#VALUE!</v>
      </c>
      <c r="CG10" t="e">
        <f>'Normal gait variables'!CH29</f>
        <v>#VALUE!</v>
      </c>
      <c r="CH10" t="e">
        <f>'Normal gait variables'!CI29</f>
        <v>#VALUE!</v>
      </c>
      <c r="CI10" t="e">
        <f>'Normal gait variables'!CJ29</f>
        <v>#VALUE!</v>
      </c>
      <c r="CJ10" t="e">
        <f>'Normal gait variables'!CK29</f>
        <v>#VALUE!</v>
      </c>
      <c r="CK10" t="e">
        <f>'Normal gait variables'!CL29</f>
        <v>#VALUE!</v>
      </c>
      <c r="CL10" t="e">
        <f>'Normal gait variables'!CM29</f>
        <v>#VALUE!</v>
      </c>
      <c r="CM10" t="e">
        <f>'Normal gait variables'!CN29</f>
        <v>#VALUE!</v>
      </c>
      <c r="CN10" t="e">
        <f>'Normal gait variables'!CO29</f>
        <v>#VALUE!</v>
      </c>
      <c r="CO10" t="e">
        <f>'Normal gait variables'!CP29</f>
        <v>#VALUE!</v>
      </c>
      <c r="CP10" t="e">
        <f>'Normal gait variables'!CQ29</f>
        <v>#VALUE!</v>
      </c>
      <c r="CQ10" t="e">
        <f>'Normal gait variables'!CR29</f>
        <v>#VALUE!</v>
      </c>
      <c r="CR10" t="e">
        <f>'Normal gait variables'!CS29</f>
        <v>#VALUE!</v>
      </c>
      <c r="CS10" t="e">
        <f>'Normal gait variables'!CT29</f>
        <v>#VALUE!</v>
      </c>
      <c r="CT10" t="e">
        <f>'Normal gait variables'!CU29</f>
        <v>#VALUE!</v>
      </c>
      <c r="CU10" t="e">
        <f>'Normal gait variables'!CV29</f>
        <v>#VALUE!</v>
      </c>
      <c r="CV10" t="e">
        <f>'Normal gait variables'!CW29</f>
        <v>#VALUE!</v>
      </c>
      <c r="CW10" t="e">
        <f>'Normal gait variables'!CX29</f>
        <v>#VALUE!</v>
      </c>
      <c r="CX10" t="e">
        <f>'Normal gait variables'!CY29</f>
        <v>#VALUE!</v>
      </c>
      <c r="CY10" t="e">
        <f>'Normal gait variables'!CZ29</f>
        <v>#VALUE!</v>
      </c>
      <c r="CZ10" t="e">
        <f>'Normal gait variables'!DA29</f>
        <v>#VALUE!</v>
      </c>
      <c r="DA10" t="e">
        <f>'Normal gait variables'!DB29</f>
        <v>#VALUE!</v>
      </c>
    </row>
    <row r="11" spans="1:105" x14ac:dyDescent="0.25">
      <c r="A11" t="s">
        <v>0</v>
      </c>
      <c r="B11" t="s">
        <v>5</v>
      </c>
      <c r="C11">
        <v>20</v>
      </c>
      <c r="D11" s="3" t="s">
        <v>2</v>
      </c>
      <c r="E11" t="e">
        <f>'Normal gait variables'!F30</f>
        <v>#VALUE!</v>
      </c>
      <c r="F11" t="e">
        <f>'Normal gait variables'!G30</f>
        <v>#VALUE!</v>
      </c>
      <c r="G11" t="e">
        <f>'Normal gait variables'!H30</f>
        <v>#VALUE!</v>
      </c>
      <c r="H11" t="e">
        <f>'Normal gait variables'!I30</f>
        <v>#VALUE!</v>
      </c>
      <c r="I11" t="e">
        <f>'Normal gait variables'!J30</f>
        <v>#VALUE!</v>
      </c>
      <c r="J11" t="e">
        <f>'Normal gait variables'!K30</f>
        <v>#VALUE!</v>
      </c>
      <c r="K11" t="e">
        <f>'Normal gait variables'!L30</f>
        <v>#VALUE!</v>
      </c>
      <c r="L11" t="e">
        <f>'Normal gait variables'!M30</f>
        <v>#VALUE!</v>
      </c>
      <c r="M11" t="e">
        <f>'Normal gait variables'!N30</f>
        <v>#VALUE!</v>
      </c>
      <c r="N11" t="e">
        <f>'Normal gait variables'!O30</f>
        <v>#VALUE!</v>
      </c>
      <c r="O11" t="e">
        <f>'Normal gait variables'!P30</f>
        <v>#VALUE!</v>
      </c>
      <c r="P11" t="e">
        <f>'Normal gait variables'!Q30</f>
        <v>#VALUE!</v>
      </c>
      <c r="Q11" t="e">
        <f>'Normal gait variables'!R30</f>
        <v>#VALUE!</v>
      </c>
      <c r="R11" t="e">
        <f>'Normal gait variables'!S30</f>
        <v>#VALUE!</v>
      </c>
      <c r="S11" t="e">
        <f>'Normal gait variables'!T30</f>
        <v>#VALUE!</v>
      </c>
      <c r="T11" t="e">
        <f>'Normal gait variables'!U30</f>
        <v>#VALUE!</v>
      </c>
      <c r="U11" t="e">
        <f>'Normal gait variables'!V30</f>
        <v>#VALUE!</v>
      </c>
      <c r="V11" t="e">
        <f>'Normal gait variables'!W30</f>
        <v>#VALUE!</v>
      </c>
      <c r="W11" t="e">
        <f>'Normal gait variables'!X30</f>
        <v>#VALUE!</v>
      </c>
      <c r="X11" t="e">
        <f>'Normal gait variables'!Y30</f>
        <v>#VALUE!</v>
      </c>
      <c r="Y11" t="e">
        <f>'Normal gait variables'!Z30</f>
        <v>#VALUE!</v>
      </c>
      <c r="Z11" t="e">
        <f>'Normal gait variables'!AA30</f>
        <v>#VALUE!</v>
      </c>
      <c r="AA11" t="e">
        <f>'Normal gait variables'!AB30</f>
        <v>#VALUE!</v>
      </c>
      <c r="AB11" t="e">
        <f>'Normal gait variables'!AC30</f>
        <v>#VALUE!</v>
      </c>
      <c r="AC11" t="e">
        <f>'Normal gait variables'!AD30</f>
        <v>#VALUE!</v>
      </c>
      <c r="AD11" t="e">
        <f>'Normal gait variables'!AE30</f>
        <v>#VALUE!</v>
      </c>
      <c r="AE11" t="e">
        <f>'Normal gait variables'!AF30</f>
        <v>#VALUE!</v>
      </c>
      <c r="AF11" t="e">
        <f>'Normal gait variables'!AG30</f>
        <v>#VALUE!</v>
      </c>
      <c r="AG11" t="e">
        <f>'Normal gait variables'!AH30</f>
        <v>#VALUE!</v>
      </c>
      <c r="AH11" t="e">
        <f>'Normal gait variables'!AI30</f>
        <v>#VALUE!</v>
      </c>
      <c r="AI11" t="e">
        <f>'Normal gait variables'!AJ30</f>
        <v>#VALUE!</v>
      </c>
      <c r="AJ11" t="e">
        <f>'Normal gait variables'!AK30</f>
        <v>#VALUE!</v>
      </c>
      <c r="AK11" t="e">
        <f>'Normal gait variables'!AL30</f>
        <v>#VALUE!</v>
      </c>
      <c r="AL11" t="e">
        <f>'Normal gait variables'!AM30</f>
        <v>#VALUE!</v>
      </c>
      <c r="AM11" t="e">
        <f>'Normal gait variables'!AN30</f>
        <v>#VALUE!</v>
      </c>
      <c r="AN11" t="e">
        <f>'Normal gait variables'!AO30</f>
        <v>#VALUE!</v>
      </c>
      <c r="AO11" t="e">
        <f>'Normal gait variables'!AP30</f>
        <v>#VALUE!</v>
      </c>
      <c r="AP11" t="e">
        <f>'Normal gait variables'!AQ30</f>
        <v>#VALUE!</v>
      </c>
      <c r="AQ11" t="e">
        <f>'Normal gait variables'!AR30</f>
        <v>#VALUE!</v>
      </c>
      <c r="AR11" t="e">
        <f>'Normal gait variables'!AS30</f>
        <v>#VALUE!</v>
      </c>
      <c r="AS11" t="e">
        <f>'Normal gait variables'!AT30</f>
        <v>#VALUE!</v>
      </c>
      <c r="AT11" t="e">
        <f>'Normal gait variables'!AU30</f>
        <v>#VALUE!</v>
      </c>
      <c r="AU11" t="e">
        <f>'Normal gait variables'!AV30</f>
        <v>#VALUE!</v>
      </c>
      <c r="AV11" t="e">
        <f>'Normal gait variables'!AW30</f>
        <v>#VALUE!</v>
      </c>
      <c r="AW11" t="e">
        <f>'Normal gait variables'!AX30</f>
        <v>#VALUE!</v>
      </c>
      <c r="AX11" t="e">
        <f>'Normal gait variables'!AY30</f>
        <v>#VALUE!</v>
      </c>
      <c r="AY11" t="e">
        <f>'Normal gait variables'!AZ30</f>
        <v>#VALUE!</v>
      </c>
      <c r="AZ11" t="e">
        <f>'Normal gait variables'!BA30</f>
        <v>#VALUE!</v>
      </c>
      <c r="BA11" t="e">
        <f>'Normal gait variables'!BB30</f>
        <v>#VALUE!</v>
      </c>
      <c r="BB11" t="e">
        <f>'Normal gait variables'!BC30</f>
        <v>#VALUE!</v>
      </c>
      <c r="BC11" t="e">
        <f>'Normal gait variables'!BD30</f>
        <v>#VALUE!</v>
      </c>
      <c r="BD11" t="e">
        <f>'Normal gait variables'!BE30</f>
        <v>#VALUE!</v>
      </c>
      <c r="BE11" t="e">
        <f>'Normal gait variables'!BF30</f>
        <v>#VALUE!</v>
      </c>
      <c r="BF11" t="e">
        <f>'Normal gait variables'!BG30</f>
        <v>#VALUE!</v>
      </c>
      <c r="BG11" t="e">
        <f>'Normal gait variables'!BH30</f>
        <v>#VALUE!</v>
      </c>
      <c r="BH11" t="e">
        <f>'Normal gait variables'!BI30</f>
        <v>#VALUE!</v>
      </c>
      <c r="BI11" t="e">
        <f>'Normal gait variables'!BJ30</f>
        <v>#VALUE!</v>
      </c>
      <c r="BJ11" t="e">
        <f>'Normal gait variables'!BK30</f>
        <v>#VALUE!</v>
      </c>
      <c r="BK11" t="e">
        <f>'Normal gait variables'!BL30</f>
        <v>#VALUE!</v>
      </c>
      <c r="BL11" t="e">
        <f>'Normal gait variables'!BM30</f>
        <v>#VALUE!</v>
      </c>
      <c r="BM11" t="e">
        <f>'Normal gait variables'!BN30</f>
        <v>#VALUE!</v>
      </c>
      <c r="BN11" t="e">
        <f>'Normal gait variables'!BO30</f>
        <v>#VALUE!</v>
      </c>
      <c r="BO11" t="e">
        <f>'Normal gait variables'!BP30</f>
        <v>#VALUE!</v>
      </c>
      <c r="BP11" t="e">
        <f>'Normal gait variables'!BQ30</f>
        <v>#VALUE!</v>
      </c>
      <c r="BQ11" t="e">
        <f>'Normal gait variables'!BR30</f>
        <v>#VALUE!</v>
      </c>
      <c r="BR11" t="e">
        <f>'Normal gait variables'!BS30</f>
        <v>#VALUE!</v>
      </c>
      <c r="BS11" t="e">
        <f>'Normal gait variables'!BT30</f>
        <v>#VALUE!</v>
      </c>
      <c r="BT11" t="e">
        <f>'Normal gait variables'!BU30</f>
        <v>#VALUE!</v>
      </c>
      <c r="BU11" t="e">
        <f>'Normal gait variables'!BV30</f>
        <v>#VALUE!</v>
      </c>
      <c r="BV11" t="e">
        <f>'Normal gait variables'!BW30</f>
        <v>#VALUE!</v>
      </c>
      <c r="BW11" t="e">
        <f>'Normal gait variables'!BX30</f>
        <v>#VALUE!</v>
      </c>
      <c r="BX11" t="e">
        <f>'Normal gait variables'!BY30</f>
        <v>#VALUE!</v>
      </c>
      <c r="BY11" t="e">
        <f>'Normal gait variables'!BZ30</f>
        <v>#VALUE!</v>
      </c>
      <c r="BZ11" t="e">
        <f>'Normal gait variables'!CA30</f>
        <v>#VALUE!</v>
      </c>
      <c r="CA11" t="e">
        <f>'Normal gait variables'!CB30</f>
        <v>#VALUE!</v>
      </c>
      <c r="CB11" t="e">
        <f>'Normal gait variables'!CC30</f>
        <v>#VALUE!</v>
      </c>
      <c r="CC11" t="e">
        <f>'Normal gait variables'!CD30</f>
        <v>#VALUE!</v>
      </c>
      <c r="CD11" t="e">
        <f>'Normal gait variables'!CE30</f>
        <v>#VALUE!</v>
      </c>
      <c r="CE11" t="e">
        <f>'Normal gait variables'!CF30</f>
        <v>#VALUE!</v>
      </c>
      <c r="CF11" t="e">
        <f>'Normal gait variables'!CG30</f>
        <v>#VALUE!</v>
      </c>
      <c r="CG11" t="e">
        <f>'Normal gait variables'!CH30</f>
        <v>#VALUE!</v>
      </c>
      <c r="CH11" t="e">
        <f>'Normal gait variables'!CI30</f>
        <v>#VALUE!</v>
      </c>
      <c r="CI11" t="e">
        <f>'Normal gait variables'!CJ30</f>
        <v>#VALUE!</v>
      </c>
      <c r="CJ11" t="e">
        <f>'Normal gait variables'!CK30</f>
        <v>#VALUE!</v>
      </c>
      <c r="CK11" t="e">
        <f>'Normal gait variables'!CL30</f>
        <v>#VALUE!</v>
      </c>
      <c r="CL11" t="e">
        <f>'Normal gait variables'!CM30</f>
        <v>#VALUE!</v>
      </c>
      <c r="CM11" t="e">
        <f>'Normal gait variables'!CN30</f>
        <v>#VALUE!</v>
      </c>
      <c r="CN11" t="e">
        <f>'Normal gait variables'!CO30</f>
        <v>#VALUE!</v>
      </c>
      <c r="CO11" t="e">
        <f>'Normal gait variables'!CP30</f>
        <v>#VALUE!</v>
      </c>
      <c r="CP11" t="e">
        <f>'Normal gait variables'!CQ30</f>
        <v>#VALUE!</v>
      </c>
      <c r="CQ11" t="e">
        <f>'Normal gait variables'!CR30</f>
        <v>#VALUE!</v>
      </c>
      <c r="CR11" t="e">
        <f>'Normal gait variables'!CS30</f>
        <v>#VALUE!</v>
      </c>
      <c r="CS11" t="e">
        <f>'Normal gait variables'!CT30</f>
        <v>#VALUE!</v>
      </c>
      <c r="CT11" t="e">
        <f>'Normal gait variables'!CU30</f>
        <v>#VALUE!</v>
      </c>
      <c r="CU11" t="e">
        <f>'Normal gait variables'!CV30</f>
        <v>#VALUE!</v>
      </c>
      <c r="CV11" t="e">
        <f>'Normal gait variables'!CW30</f>
        <v>#VALUE!</v>
      </c>
      <c r="CW11" t="e">
        <f>'Normal gait variables'!CX30</f>
        <v>#VALUE!</v>
      </c>
      <c r="CX11" t="e">
        <f>'Normal gait variables'!CY30</f>
        <v>#VALUE!</v>
      </c>
      <c r="CY11" t="e">
        <f>'Normal gait variables'!CZ30</f>
        <v>#VALUE!</v>
      </c>
      <c r="CZ11" t="e">
        <f>'Normal gait variables'!DA30</f>
        <v>#VALUE!</v>
      </c>
      <c r="DA11" t="e">
        <f>'Normal gait variables'!DB30</f>
        <v>#VALUE!</v>
      </c>
    </row>
    <row r="12" spans="1:105" x14ac:dyDescent="0.25">
      <c r="A12" t="s">
        <v>0</v>
      </c>
      <c r="B12" t="s">
        <v>6</v>
      </c>
      <c r="C12">
        <v>20</v>
      </c>
      <c r="D12" s="3" t="s">
        <v>2</v>
      </c>
      <c r="E12" t="e">
        <f>'Normal gait variables'!F31</f>
        <v>#VALUE!</v>
      </c>
      <c r="F12" t="e">
        <f>'Normal gait variables'!G31</f>
        <v>#VALUE!</v>
      </c>
      <c r="G12" t="e">
        <f>'Normal gait variables'!H31</f>
        <v>#VALUE!</v>
      </c>
      <c r="H12" t="e">
        <f>'Normal gait variables'!I31</f>
        <v>#VALUE!</v>
      </c>
      <c r="I12" t="e">
        <f>'Normal gait variables'!J31</f>
        <v>#VALUE!</v>
      </c>
      <c r="J12" t="e">
        <f>'Normal gait variables'!K31</f>
        <v>#VALUE!</v>
      </c>
      <c r="K12" t="e">
        <f>'Normal gait variables'!L31</f>
        <v>#VALUE!</v>
      </c>
      <c r="L12" t="e">
        <f>'Normal gait variables'!M31</f>
        <v>#VALUE!</v>
      </c>
      <c r="M12" t="e">
        <f>'Normal gait variables'!N31</f>
        <v>#VALUE!</v>
      </c>
      <c r="N12" t="e">
        <f>'Normal gait variables'!O31</f>
        <v>#VALUE!</v>
      </c>
      <c r="O12" t="e">
        <f>'Normal gait variables'!P31</f>
        <v>#VALUE!</v>
      </c>
      <c r="P12" t="e">
        <f>'Normal gait variables'!Q31</f>
        <v>#VALUE!</v>
      </c>
      <c r="Q12" t="e">
        <f>'Normal gait variables'!R31</f>
        <v>#VALUE!</v>
      </c>
      <c r="R12" t="e">
        <f>'Normal gait variables'!S31</f>
        <v>#VALUE!</v>
      </c>
      <c r="S12" t="e">
        <f>'Normal gait variables'!T31</f>
        <v>#VALUE!</v>
      </c>
      <c r="T12" t="e">
        <f>'Normal gait variables'!U31</f>
        <v>#VALUE!</v>
      </c>
      <c r="U12" t="e">
        <f>'Normal gait variables'!V31</f>
        <v>#VALUE!</v>
      </c>
      <c r="V12" t="e">
        <f>'Normal gait variables'!W31</f>
        <v>#VALUE!</v>
      </c>
      <c r="W12" t="e">
        <f>'Normal gait variables'!X31</f>
        <v>#VALUE!</v>
      </c>
      <c r="X12" t="e">
        <f>'Normal gait variables'!Y31</f>
        <v>#VALUE!</v>
      </c>
      <c r="Y12" t="e">
        <f>'Normal gait variables'!Z31</f>
        <v>#VALUE!</v>
      </c>
      <c r="Z12" t="e">
        <f>'Normal gait variables'!AA31</f>
        <v>#VALUE!</v>
      </c>
      <c r="AA12" t="e">
        <f>'Normal gait variables'!AB31</f>
        <v>#VALUE!</v>
      </c>
      <c r="AB12" t="e">
        <f>'Normal gait variables'!AC31</f>
        <v>#VALUE!</v>
      </c>
      <c r="AC12" t="e">
        <f>'Normal gait variables'!AD31</f>
        <v>#VALUE!</v>
      </c>
      <c r="AD12" t="e">
        <f>'Normal gait variables'!AE31</f>
        <v>#VALUE!</v>
      </c>
      <c r="AE12" t="e">
        <f>'Normal gait variables'!AF31</f>
        <v>#VALUE!</v>
      </c>
      <c r="AF12" t="e">
        <f>'Normal gait variables'!AG31</f>
        <v>#VALUE!</v>
      </c>
      <c r="AG12" t="e">
        <f>'Normal gait variables'!AH31</f>
        <v>#VALUE!</v>
      </c>
      <c r="AH12" t="e">
        <f>'Normal gait variables'!AI31</f>
        <v>#VALUE!</v>
      </c>
      <c r="AI12" t="e">
        <f>'Normal gait variables'!AJ31</f>
        <v>#VALUE!</v>
      </c>
      <c r="AJ12" t="e">
        <f>'Normal gait variables'!AK31</f>
        <v>#VALUE!</v>
      </c>
      <c r="AK12" t="e">
        <f>'Normal gait variables'!AL31</f>
        <v>#VALUE!</v>
      </c>
      <c r="AL12" t="e">
        <f>'Normal gait variables'!AM31</f>
        <v>#VALUE!</v>
      </c>
      <c r="AM12" t="e">
        <f>'Normal gait variables'!AN31</f>
        <v>#VALUE!</v>
      </c>
      <c r="AN12" t="e">
        <f>'Normal gait variables'!AO31</f>
        <v>#VALUE!</v>
      </c>
      <c r="AO12" t="e">
        <f>'Normal gait variables'!AP31</f>
        <v>#VALUE!</v>
      </c>
      <c r="AP12" t="e">
        <f>'Normal gait variables'!AQ31</f>
        <v>#VALUE!</v>
      </c>
      <c r="AQ12" t="e">
        <f>'Normal gait variables'!AR31</f>
        <v>#VALUE!</v>
      </c>
      <c r="AR12" t="e">
        <f>'Normal gait variables'!AS31</f>
        <v>#VALUE!</v>
      </c>
      <c r="AS12" t="e">
        <f>'Normal gait variables'!AT31</f>
        <v>#VALUE!</v>
      </c>
      <c r="AT12" t="e">
        <f>'Normal gait variables'!AU31</f>
        <v>#VALUE!</v>
      </c>
      <c r="AU12" t="e">
        <f>'Normal gait variables'!AV31</f>
        <v>#VALUE!</v>
      </c>
      <c r="AV12" t="e">
        <f>'Normal gait variables'!AW31</f>
        <v>#VALUE!</v>
      </c>
      <c r="AW12" t="e">
        <f>'Normal gait variables'!AX31</f>
        <v>#VALUE!</v>
      </c>
      <c r="AX12" t="e">
        <f>'Normal gait variables'!AY31</f>
        <v>#VALUE!</v>
      </c>
      <c r="AY12" t="e">
        <f>'Normal gait variables'!AZ31</f>
        <v>#VALUE!</v>
      </c>
      <c r="AZ12" t="e">
        <f>'Normal gait variables'!BA31</f>
        <v>#VALUE!</v>
      </c>
      <c r="BA12" t="e">
        <f>'Normal gait variables'!BB31</f>
        <v>#VALUE!</v>
      </c>
      <c r="BB12" t="e">
        <f>'Normal gait variables'!BC31</f>
        <v>#VALUE!</v>
      </c>
      <c r="BC12" t="e">
        <f>'Normal gait variables'!BD31</f>
        <v>#VALUE!</v>
      </c>
      <c r="BD12" t="e">
        <f>'Normal gait variables'!BE31</f>
        <v>#VALUE!</v>
      </c>
      <c r="BE12" t="e">
        <f>'Normal gait variables'!BF31</f>
        <v>#VALUE!</v>
      </c>
      <c r="BF12" t="e">
        <f>'Normal gait variables'!BG31</f>
        <v>#VALUE!</v>
      </c>
      <c r="BG12" t="e">
        <f>'Normal gait variables'!BH31</f>
        <v>#VALUE!</v>
      </c>
      <c r="BH12" t="e">
        <f>'Normal gait variables'!BI31</f>
        <v>#VALUE!</v>
      </c>
      <c r="BI12" t="e">
        <f>'Normal gait variables'!BJ31</f>
        <v>#VALUE!</v>
      </c>
      <c r="BJ12" t="e">
        <f>'Normal gait variables'!BK31</f>
        <v>#VALUE!</v>
      </c>
      <c r="BK12" t="e">
        <f>'Normal gait variables'!BL31</f>
        <v>#VALUE!</v>
      </c>
      <c r="BL12" t="e">
        <f>'Normal gait variables'!BM31</f>
        <v>#VALUE!</v>
      </c>
      <c r="BM12" t="e">
        <f>'Normal gait variables'!BN31</f>
        <v>#VALUE!</v>
      </c>
      <c r="BN12" t="e">
        <f>'Normal gait variables'!BO31</f>
        <v>#VALUE!</v>
      </c>
      <c r="BO12" t="e">
        <f>'Normal gait variables'!BP31</f>
        <v>#VALUE!</v>
      </c>
      <c r="BP12" t="e">
        <f>'Normal gait variables'!BQ31</f>
        <v>#VALUE!</v>
      </c>
      <c r="BQ12" t="e">
        <f>'Normal gait variables'!BR31</f>
        <v>#VALUE!</v>
      </c>
      <c r="BR12" t="e">
        <f>'Normal gait variables'!BS31</f>
        <v>#VALUE!</v>
      </c>
      <c r="BS12" t="e">
        <f>'Normal gait variables'!BT31</f>
        <v>#VALUE!</v>
      </c>
      <c r="BT12" t="e">
        <f>'Normal gait variables'!BU31</f>
        <v>#VALUE!</v>
      </c>
      <c r="BU12" t="e">
        <f>'Normal gait variables'!BV31</f>
        <v>#VALUE!</v>
      </c>
      <c r="BV12" t="e">
        <f>'Normal gait variables'!BW31</f>
        <v>#VALUE!</v>
      </c>
      <c r="BW12" t="e">
        <f>'Normal gait variables'!BX31</f>
        <v>#VALUE!</v>
      </c>
      <c r="BX12" t="e">
        <f>'Normal gait variables'!BY31</f>
        <v>#VALUE!</v>
      </c>
      <c r="BY12" t="e">
        <f>'Normal gait variables'!BZ31</f>
        <v>#VALUE!</v>
      </c>
      <c r="BZ12" t="e">
        <f>'Normal gait variables'!CA31</f>
        <v>#VALUE!</v>
      </c>
      <c r="CA12" t="e">
        <f>'Normal gait variables'!CB31</f>
        <v>#VALUE!</v>
      </c>
      <c r="CB12" t="e">
        <f>'Normal gait variables'!CC31</f>
        <v>#VALUE!</v>
      </c>
      <c r="CC12" t="e">
        <f>'Normal gait variables'!CD31</f>
        <v>#VALUE!</v>
      </c>
      <c r="CD12" t="e">
        <f>'Normal gait variables'!CE31</f>
        <v>#VALUE!</v>
      </c>
      <c r="CE12" t="e">
        <f>'Normal gait variables'!CF31</f>
        <v>#VALUE!</v>
      </c>
      <c r="CF12" t="e">
        <f>'Normal gait variables'!CG31</f>
        <v>#VALUE!</v>
      </c>
      <c r="CG12" t="e">
        <f>'Normal gait variables'!CH31</f>
        <v>#VALUE!</v>
      </c>
      <c r="CH12" t="e">
        <f>'Normal gait variables'!CI31</f>
        <v>#VALUE!</v>
      </c>
      <c r="CI12" t="e">
        <f>'Normal gait variables'!CJ31</f>
        <v>#VALUE!</v>
      </c>
      <c r="CJ12" t="e">
        <f>'Normal gait variables'!CK31</f>
        <v>#VALUE!</v>
      </c>
      <c r="CK12" t="e">
        <f>'Normal gait variables'!CL31</f>
        <v>#VALUE!</v>
      </c>
      <c r="CL12" t="e">
        <f>'Normal gait variables'!CM31</f>
        <v>#VALUE!</v>
      </c>
      <c r="CM12" t="e">
        <f>'Normal gait variables'!CN31</f>
        <v>#VALUE!</v>
      </c>
      <c r="CN12" t="e">
        <f>'Normal gait variables'!CO31</f>
        <v>#VALUE!</v>
      </c>
      <c r="CO12" t="e">
        <f>'Normal gait variables'!CP31</f>
        <v>#VALUE!</v>
      </c>
      <c r="CP12" t="e">
        <f>'Normal gait variables'!CQ31</f>
        <v>#VALUE!</v>
      </c>
      <c r="CQ12" t="e">
        <f>'Normal gait variables'!CR31</f>
        <v>#VALUE!</v>
      </c>
      <c r="CR12" t="e">
        <f>'Normal gait variables'!CS31</f>
        <v>#VALUE!</v>
      </c>
      <c r="CS12" t="e">
        <f>'Normal gait variables'!CT31</f>
        <v>#VALUE!</v>
      </c>
      <c r="CT12" t="e">
        <f>'Normal gait variables'!CU31</f>
        <v>#VALUE!</v>
      </c>
      <c r="CU12" t="e">
        <f>'Normal gait variables'!CV31</f>
        <v>#VALUE!</v>
      </c>
      <c r="CV12" t="e">
        <f>'Normal gait variables'!CW31</f>
        <v>#VALUE!</v>
      </c>
      <c r="CW12" t="e">
        <f>'Normal gait variables'!CX31</f>
        <v>#VALUE!</v>
      </c>
      <c r="CX12" t="e">
        <f>'Normal gait variables'!CY31</f>
        <v>#VALUE!</v>
      </c>
      <c r="CY12" t="e">
        <f>'Normal gait variables'!CZ31</f>
        <v>#VALUE!</v>
      </c>
      <c r="CZ12" t="e">
        <f>'Normal gait variables'!DA31</f>
        <v>#VALUE!</v>
      </c>
      <c r="DA12" t="e">
        <f>'Normal gait variables'!DB31</f>
        <v>#VALUE!</v>
      </c>
    </row>
    <row r="13" spans="1:105" x14ac:dyDescent="0.25">
      <c r="D13" s="3"/>
    </row>
    <row r="14" spans="1:105" x14ac:dyDescent="0.25">
      <c r="A14" s="1" t="s">
        <v>70</v>
      </c>
      <c r="B14" s="50" t="s">
        <v>150</v>
      </c>
      <c r="C14" s="51" t="s">
        <v>69</v>
      </c>
      <c r="D14" s="51"/>
      <c r="E14" s="50" t="s">
        <v>150</v>
      </c>
      <c r="G14" s="51"/>
      <c r="H14" s="51"/>
      <c r="I14" s="51"/>
      <c r="L14" s="51"/>
      <c r="M14" s="51"/>
      <c r="N14" s="51"/>
    </row>
    <row r="15" spans="1:105" x14ac:dyDescent="0.25">
      <c r="A15" s="1"/>
      <c r="B15" s="20"/>
      <c r="C15" s="21"/>
      <c r="D15" s="21"/>
      <c r="E15" s="20"/>
      <c r="G15" s="17"/>
      <c r="H15" s="17"/>
      <c r="I15" s="17"/>
      <c r="L15" s="17"/>
      <c r="M15" s="17"/>
      <c r="N15" s="17"/>
    </row>
    <row r="16" spans="1:105" x14ac:dyDescent="0.25">
      <c r="D16" s="3"/>
    </row>
    <row r="17" spans="1:107" x14ac:dyDescent="0.25">
      <c r="A17" s="19" t="s">
        <v>135</v>
      </c>
      <c r="B17" t="s">
        <v>149</v>
      </c>
      <c r="C17" t="s">
        <v>149</v>
      </c>
      <c r="D17" t="s">
        <v>149</v>
      </c>
      <c r="E17" t="s">
        <v>149</v>
      </c>
      <c r="F17" t="s">
        <v>149</v>
      </c>
      <c r="G17" t="s">
        <v>149</v>
      </c>
      <c r="H17" t="s">
        <v>149</v>
      </c>
      <c r="I17" t="s">
        <v>149</v>
      </c>
      <c r="J17" t="s">
        <v>149</v>
      </c>
      <c r="K17" t="s">
        <v>149</v>
      </c>
      <c r="L17" t="s">
        <v>149</v>
      </c>
      <c r="M17" t="s">
        <v>149</v>
      </c>
      <c r="N17" t="s">
        <v>149</v>
      </c>
      <c r="O17" t="s">
        <v>149</v>
      </c>
      <c r="P17" t="s">
        <v>149</v>
      </c>
      <c r="Q17" t="s">
        <v>149</v>
      </c>
      <c r="R17" t="s">
        <v>149</v>
      </c>
      <c r="S17" t="s">
        <v>149</v>
      </c>
      <c r="T17" t="s">
        <v>149</v>
      </c>
      <c r="U17" t="s">
        <v>149</v>
      </c>
      <c r="V17" t="s">
        <v>149</v>
      </c>
      <c r="W17" t="s">
        <v>149</v>
      </c>
      <c r="X17" t="s">
        <v>149</v>
      </c>
      <c r="Y17" t="s">
        <v>149</v>
      </c>
      <c r="Z17" t="s">
        <v>149</v>
      </c>
      <c r="AA17" t="s">
        <v>149</v>
      </c>
      <c r="AB17" t="s">
        <v>149</v>
      </c>
      <c r="AC17" t="s">
        <v>149</v>
      </c>
      <c r="AD17" t="s">
        <v>149</v>
      </c>
      <c r="AE17" t="s">
        <v>149</v>
      </c>
      <c r="AF17" t="s">
        <v>149</v>
      </c>
      <c r="AG17" t="s">
        <v>149</v>
      </c>
      <c r="AH17" t="s">
        <v>149</v>
      </c>
      <c r="AI17" t="s">
        <v>149</v>
      </c>
      <c r="AJ17" t="s">
        <v>149</v>
      </c>
      <c r="AK17" t="s">
        <v>149</v>
      </c>
      <c r="AL17" t="s">
        <v>149</v>
      </c>
      <c r="AM17" t="s">
        <v>149</v>
      </c>
      <c r="AN17" t="s">
        <v>149</v>
      </c>
      <c r="AO17" t="s">
        <v>149</v>
      </c>
      <c r="AP17" t="s">
        <v>149</v>
      </c>
      <c r="AQ17" t="s">
        <v>149</v>
      </c>
      <c r="AR17" t="s">
        <v>149</v>
      </c>
      <c r="AS17" t="s">
        <v>149</v>
      </c>
      <c r="AT17" t="s">
        <v>149</v>
      </c>
      <c r="AU17" t="s">
        <v>149</v>
      </c>
      <c r="AV17" t="s">
        <v>149</v>
      </c>
      <c r="AW17" t="s">
        <v>149</v>
      </c>
      <c r="AX17" t="s">
        <v>149</v>
      </c>
      <c r="AY17" t="s">
        <v>149</v>
      </c>
      <c r="AZ17" t="s">
        <v>149</v>
      </c>
      <c r="BA17" t="s">
        <v>149</v>
      </c>
      <c r="BB17" t="s">
        <v>149</v>
      </c>
      <c r="BC17" t="s">
        <v>149</v>
      </c>
      <c r="BD17" t="s">
        <v>149</v>
      </c>
      <c r="BE17" t="s">
        <v>149</v>
      </c>
      <c r="BF17" t="s">
        <v>149</v>
      </c>
      <c r="BG17" t="s">
        <v>149</v>
      </c>
      <c r="BH17" t="s">
        <v>149</v>
      </c>
      <c r="BI17" t="s">
        <v>149</v>
      </c>
      <c r="BJ17" t="s">
        <v>149</v>
      </c>
      <c r="BK17" t="s">
        <v>149</v>
      </c>
      <c r="BL17" t="s">
        <v>149</v>
      </c>
      <c r="BM17" t="s">
        <v>149</v>
      </c>
      <c r="BN17" t="s">
        <v>149</v>
      </c>
      <c r="BO17" t="s">
        <v>149</v>
      </c>
      <c r="BP17" t="s">
        <v>149</v>
      </c>
      <c r="BQ17" t="s">
        <v>149</v>
      </c>
      <c r="BR17" t="s">
        <v>149</v>
      </c>
      <c r="BS17" t="s">
        <v>149</v>
      </c>
      <c r="BT17" t="s">
        <v>149</v>
      </c>
      <c r="BU17" t="s">
        <v>149</v>
      </c>
      <c r="BV17" t="s">
        <v>149</v>
      </c>
      <c r="BW17" t="s">
        <v>149</v>
      </c>
      <c r="BX17" t="s">
        <v>149</v>
      </c>
      <c r="BY17" t="s">
        <v>149</v>
      </c>
      <c r="BZ17" t="s">
        <v>149</v>
      </c>
      <c r="CA17" t="s">
        <v>149</v>
      </c>
      <c r="CB17" t="s">
        <v>149</v>
      </c>
      <c r="CC17" t="s">
        <v>149</v>
      </c>
      <c r="CD17" t="s">
        <v>149</v>
      </c>
      <c r="CE17" t="s">
        <v>149</v>
      </c>
      <c r="CF17" t="s">
        <v>149</v>
      </c>
      <c r="CG17" t="s">
        <v>149</v>
      </c>
      <c r="CH17" t="s">
        <v>149</v>
      </c>
      <c r="CI17" t="s">
        <v>149</v>
      </c>
      <c r="CJ17" t="s">
        <v>149</v>
      </c>
      <c r="CK17" t="s">
        <v>149</v>
      </c>
      <c r="CL17" t="s">
        <v>149</v>
      </c>
      <c r="CM17" t="s">
        <v>149</v>
      </c>
      <c r="CN17" t="s">
        <v>149</v>
      </c>
      <c r="CO17" t="s">
        <v>149</v>
      </c>
      <c r="CP17" t="s">
        <v>149</v>
      </c>
      <c r="CQ17" t="s">
        <v>149</v>
      </c>
      <c r="CR17" t="s">
        <v>149</v>
      </c>
      <c r="CS17" t="s">
        <v>149</v>
      </c>
      <c r="CT17" t="s">
        <v>149</v>
      </c>
      <c r="CU17" t="s">
        <v>149</v>
      </c>
      <c r="CV17" t="s">
        <v>149</v>
      </c>
      <c r="CW17" t="s">
        <v>149</v>
      </c>
      <c r="CX17" t="s">
        <v>149</v>
      </c>
      <c r="CY17" t="s">
        <v>149</v>
      </c>
      <c r="CZ17" t="s">
        <v>149</v>
      </c>
      <c r="DA17" t="s">
        <v>149</v>
      </c>
      <c r="DC17" t="s">
        <v>149</v>
      </c>
    </row>
    <row r="18" spans="1:107" x14ac:dyDescent="0.25">
      <c r="A18" t="s">
        <v>149</v>
      </c>
      <c r="B18" t="s">
        <v>149</v>
      </c>
      <c r="C18" t="s">
        <v>149</v>
      </c>
      <c r="D18" t="s">
        <v>149</v>
      </c>
      <c r="E18" t="s">
        <v>149</v>
      </c>
      <c r="F18" t="s">
        <v>149</v>
      </c>
      <c r="G18" t="s">
        <v>149</v>
      </c>
      <c r="H18" t="s">
        <v>149</v>
      </c>
      <c r="I18" t="s">
        <v>149</v>
      </c>
      <c r="J18" t="s">
        <v>149</v>
      </c>
      <c r="K18" t="s">
        <v>149</v>
      </c>
      <c r="L18" t="s">
        <v>149</v>
      </c>
      <c r="M18" t="s">
        <v>149</v>
      </c>
      <c r="N18" t="s">
        <v>149</v>
      </c>
      <c r="O18" t="s">
        <v>149</v>
      </c>
      <c r="P18" t="s">
        <v>149</v>
      </c>
      <c r="Q18" t="s">
        <v>149</v>
      </c>
      <c r="R18" t="s">
        <v>149</v>
      </c>
      <c r="S18" t="s">
        <v>149</v>
      </c>
      <c r="T18" t="s">
        <v>149</v>
      </c>
      <c r="U18" t="s">
        <v>149</v>
      </c>
      <c r="V18" t="s">
        <v>149</v>
      </c>
      <c r="W18" t="s">
        <v>149</v>
      </c>
      <c r="X18" t="s">
        <v>149</v>
      </c>
      <c r="Y18" t="s">
        <v>149</v>
      </c>
      <c r="Z18" t="s">
        <v>149</v>
      </c>
      <c r="AA18" t="s">
        <v>149</v>
      </c>
      <c r="AB18" t="s">
        <v>149</v>
      </c>
      <c r="AC18" t="s">
        <v>149</v>
      </c>
      <c r="AD18" t="s">
        <v>149</v>
      </c>
      <c r="AE18" t="s">
        <v>149</v>
      </c>
      <c r="AF18" t="s">
        <v>149</v>
      </c>
      <c r="AG18" t="s">
        <v>149</v>
      </c>
      <c r="AH18" t="s">
        <v>149</v>
      </c>
      <c r="AI18" t="s">
        <v>149</v>
      </c>
      <c r="AJ18" t="s">
        <v>149</v>
      </c>
      <c r="AK18" t="s">
        <v>149</v>
      </c>
      <c r="AL18" t="s">
        <v>149</v>
      </c>
      <c r="AM18" t="s">
        <v>149</v>
      </c>
      <c r="AN18" t="s">
        <v>149</v>
      </c>
      <c r="AO18" t="s">
        <v>149</v>
      </c>
      <c r="AP18" t="s">
        <v>149</v>
      </c>
      <c r="AQ18" t="s">
        <v>149</v>
      </c>
      <c r="AR18" t="s">
        <v>149</v>
      </c>
      <c r="AS18" t="s">
        <v>149</v>
      </c>
      <c r="AT18" t="s">
        <v>149</v>
      </c>
      <c r="AU18" t="s">
        <v>149</v>
      </c>
      <c r="AV18" t="s">
        <v>149</v>
      </c>
      <c r="AW18" t="s">
        <v>149</v>
      </c>
      <c r="AX18" t="s">
        <v>149</v>
      </c>
      <c r="AY18" t="s">
        <v>149</v>
      </c>
      <c r="AZ18" t="s">
        <v>149</v>
      </c>
      <c r="BA18" t="s">
        <v>149</v>
      </c>
      <c r="BB18" t="s">
        <v>149</v>
      </c>
      <c r="BC18" t="s">
        <v>149</v>
      </c>
      <c r="BD18" t="s">
        <v>149</v>
      </c>
      <c r="BE18" t="s">
        <v>149</v>
      </c>
      <c r="BF18" t="s">
        <v>149</v>
      </c>
      <c r="BG18" t="s">
        <v>149</v>
      </c>
      <c r="BH18" t="s">
        <v>149</v>
      </c>
      <c r="BI18" t="s">
        <v>149</v>
      </c>
      <c r="BJ18" t="s">
        <v>149</v>
      </c>
      <c r="BK18" t="s">
        <v>149</v>
      </c>
      <c r="BL18" t="s">
        <v>149</v>
      </c>
      <c r="BM18" t="s">
        <v>149</v>
      </c>
      <c r="BN18" t="s">
        <v>149</v>
      </c>
      <c r="BO18" t="s">
        <v>149</v>
      </c>
      <c r="BP18" t="s">
        <v>149</v>
      </c>
      <c r="BQ18" t="s">
        <v>149</v>
      </c>
      <c r="BR18" t="s">
        <v>149</v>
      </c>
      <c r="BS18" t="s">
        <v>149</v>
      </c>
      <c r="BT18" t="s">
        <v>149</v>
      </c>
      <c r="BU18" t="s">
        <v>149</v>
      </c>
      <c r="BV18" t="s">
        <v>149</v>
      </c>
      <c r="BW18" t="s">
        <v>149</v>
      </c>
      <c r="BX18" t="s">
        <v>149</v>
      </c>
      <c r="BY18" t="s">
        <v>149</v>
      </c>
      <c r="BZ18" t="s">
        <v>149</v>
      </c>
      <c r="CA18" t="s">
        <v>149</v>
      </c>
      <c r="CB18" t="s">
        <v>149</v>
      </c>
      <c r="CC18" t="s">
        <v>149</v>
      </c>
      <c r="CD18" t="s">
        <v>149</v>
      </c>
      <c r="CE18" t="s">
        <v>149</v>
      </c>
      <c r="CF18" t="s">
        <v>149</v>
      </c>
      <c r="CG18" t="s">
        <v>149</v>
      </c>
      <c r="CH18" t="s">
        <v>149</v>
      </c>
      <c r="CI18" t="s">
        <v>149</v>
      </c>
      <c r="CJ18" t="s">
        <v>149</v>
      </c>
      <c r="CK18" t="s">
        <v>149</v>
      </c>
      <c r="CL18" t="s">
        <v>149</v>
      </c>
      <c r="CM18" t="s">
        <v>149</v>
      </c>
      <c r="CN18" t="s">
        <v>149</v>
      </c>
      <c r="CO18" t="s">
        <v>149</v>
      </c>
      <c r="CP18" t="s">
        <v>149</v>
      </c>
      <c r="CQ18" t="s">
        <v>149</v>
      </c>
      <c r="CR18" t="s">
        <v>149</v>
      </c>
      <c r="CS18" t="s">
        <v>149</v>
      </c>
      <c r="CT18" t="s">
        <v>149</v>
      </c>
      <c r="CU18" t="s">
        <v>149</v>
      </c>
      <c r="CV18" t="s">
        <v>149</v>
      </c>
      <c r="CW18" t="s">
        <v>149</v>
      </c>
      <c r="CX18" t="s">
        <v>149</v>
      </c>
      <c r="CY18" t="s">
        <v>149</v>
      </c>
      <c r="CZ18" t="s">
        <v>149</v>
      </c>
      <c r="DA18" t="s">
        <v>149</v>
      </c>
      <c r="DC18" t="s">
        <v>149</v>
      </c>
    </row>
    <row r="19" spans="1:107" x14ac:dyDescent="0.25">
      <c r="A19" t="s">
        <v>149</v>
      </c>
      <c r="B19" t="s">
        <v>149</v>
      </c>
      <c r="C19" t="s">
        <v>149</v>
      </c>
      <c r="D19" t="s">
        <v>149</v>
      </c>
      <c r="E19" t="s">
        <v>149</v>
      </c>
      <c r="F19" t="s">
        <v>149</v>
      </c>
      <c r="G19" t="s">
        <v>149</v>
      </c>
      <c r="H19" t="s">
        <v>149</v>
      </c>
      <c r="I19" t="s">
        <v>149</v>
      </c>
      <c r="J19" t="s">
        <v>149</v>
      </c>
      <c r="K19" t="s">
        <v>149</v>
      </c>
      <c r="L19" t="s">
        <v>149</v>
      </c>
      <c r="M19" t="s">
        <v>149</v>
      </c>
      <c r="N19" t="s">
        <v>149</v>
      </c>
      <c r="O19" t="s">
        <v>149</v>
      </c>
      <c r="P19" t="s">
        <v>149</v>
      </c>
      <c r="Q19" t="s">
        <v>149</v>
      </c>
      <c r="R19" t="s">
        <v>149</v>
      </c>
      <c r="S19" t="s">
        <v>149</v>
      </c>
      <c r="T19" t="s">
        <v>149</v>
      </c>
      <c r="U19" t="s">
        <v>149</v>
      </c>
      <c r="V19" t="s">
        <v>149</v>
      </c>
      <c r="W19" t="s">
        <v>149</v>
      </c>
      <c r="X19" t="s">
        <v>149</v>
      </c>
      <c r="Y19" t="s">
        <v>149</v>
      </c>
      <c r="Z19" t="s">
        <v>149</v>
      </c>
      <c r="AA19" t="s">
        <v>149</v>
      </c>
      <c r="AB19" t="s">
        <v>149</v>
      </c>
      <c r="AC19" t="s">
        <v>149</v>
      </c>
      <c r="AD19" t="s">
        <v>149</v>
      </c>
      <c r="AE19" t="s">
        <v>149</v>
      </c>
      <c r="AF19" t="s">
        <v>149</v>
      </c>
      <c r="AG19" t="s">
        <v>149</v>
      </c>
      <c r="AH19" t="s">
        <v>149</v>
      </c>
      <c r="AI19" t="s">
        <v>149</v>
      </c>
      <c r="AJ19" t="s">
        <v>149</v>
      </c>
      <c r="AK19" t="s">
        <v>149</v>
      </c>
      <c r="AL19" t="s">
        <v>149</v>
      </c>
      <c r="AM19" t="s">
        <v>149</v>
      </c>
      <c r="AN19" t="s">
        <v>149</v>
      </c>
      <c r="AO19" t="s">
        <v>149</v>
      </c>
      <c r="AP19" t="s">
        <v>149</v>
      </c>
      <c r="AQ19" t="s">
        <v>149</v>
      </c>
      <c r="AR19" t="s">
        <v>149</v>
      </c>
      <c r="AS19" t="s">
        <v>149</v>
      </c>
      <c r="AT19" t="s">
        <v>149</v>
      </c>
      <c r="AU19" t="s">
        <v>149</v>
      </c>
      <c r="AV19" t="s">
        <v>149</v>
      </c>
      <c r="AW19" t="s">
        <v>149</v>
      </c>
      <c r="AX19" t="s">
        <v>149</v>
      </c>
      <c r="AY19" t="s">
        <v>149</v>
      </c>
      <c r="AZ19" t="s">
        <v>149</v>
      </c>
      <c r="BA19" t="s">
        <v>149</v>
      </c>
      <c r="BB19" t="s">
        <v>149</v>
      </c>
      <c r="BC19" t="s">
        <v>149</v>
      </c>
      <c r="BD19" t="s">
        <v>149</v>
      </c>
      <c r="BE19" t="s">
        <v>149</v>
      </c>
      <c r="BF19" t="s">
        <v>149</v>
      </c>
      <c r="BG19" t="s">
        <v>149</v>
      </c>
      <c r="BH19" t="s">
        <v>149</v>
      </c>
      <c r="BI19" t="s">
        <v>149</v>
      </c>
      <c r="BJ19" t="s">
        <v>149</v>
      </c>
      <c r="BK19" t="s">
        <v>149</v>
      </c>
      <c r="BL19" t="s">
        <v>149</v>
      </c>
      <c r="BM19" t="s">
        <v>149</v>
      </c>
      <c r="BN19" t="s">
        <v>149</v>
      </c>
      <c r="BO19" t="s">
        <v>149</v>
      </c>
      <c r="BP19" t="s">
        <v>149</v>
      </c>
      <c r="BQ19" t="s">
        <v>149</v>
      </c>
      <c r="BR19" t="s">
        <v>149</v>
      </c>
      <c r="BS19" t="s">
        <v>149</v>
      </c>
      <c r="BT19" t="s">
        <v>149</v>
      </c>
      <c r="BU19" t="s">
        <v>149</v>
      </c>
      <c r="BV19" t="s">
        <v>149</v>
      </c>
      <c r="BW19" t="s">
        <v>149</v>
      </c>
      <c r="BX19" t="s">
        <v>149</v>
      </c>
      <c r="BY19" t="s">
        <v>149</v>
      </c>
      <c r="BZ19" t="s">
        <v>149</v>
      </c>
      <c r="CA19" t="s">
        <v>149</v>
      </c>
      <c r="CB19" t="s">
        <v>149</v>
      </c>
      <c r="CC19" t="s">
        <v>149</v>
      </c>
      <c r="CD19" t="s">
        <v>149</v>
      </c>
      <c r="CE19" t="s">
        <v>149</v>
      </c>
      <c r="CF19" t="s">
        <v>149</v>
      </c>
      <c r="CG19" t="s">
        <v>149</v>
      </c>
      <c r="CH19" t="s">
        <v>149</v>
      </c>
      <c r="CI19" t="s">
        <v>149</v>
      </c>
      <c r="CJ19" t="s">
        <v>149</v>
      </c>
      <c r="CK19" t="s">
        <v>149</v>
      </c>
      <c r="CL19" t="s">
        <v>149</v>
      </c>
      <c r="CM19" t="s">
        <v>149</v>
      </c>
      <c r="CN19" t="s">
        <v>149</v>
      </c>
      <c r="CO19" t="s">
        <v>149</v>
      </c>
      <c r="CP19" t="s">
        <v>149</v>
      </c>
      <c r="CQ19" t="s">
        <v>149</v>
      </c>
      <c r="CR19" t="s">
        <v>149</v>
      </c>
      <c r="CS19" t="s">
        <v>149</v>
      </c>
      <c r="CT19" t="s">
        <v>149</v>
      </c>
      <c r="CU19" t="s">
        <v>149</v>
      </c>
      <c r="CV19" t="s">
        <v>149</v>
      </c>
      <c r="CW19" t="s">
        <v>149</v>
      </c>
      <c r="CX19" t="s">
        <v>149</v>
      </c>
      <c r="CY19" t="s">
        <v>149</v>
      </c>
      <c r="CZ19" t="s">
        <v>149</v>
      </c>
      <c r="DA19" t="s">
        <v>149</v>
      </c>
      <c r="DC19" t="s">
        <v>149</v>
      </c>
    </row>
    <row r="20" spans="1:107" x14ac:dyDescent="0.25">
      <c r="A20" t="s">
        <v>149</v>
      </c>
      <c r="B20" t="s">
        <v>149</v>
      </c>
      <c r="C20" t="s">
        <v>149</v>
      </c>
      <c r="D20" t="s">
        <v>149</v>
      </c>
      <c r="E20" t="s">
        <v>149</v>
      </c>
      <c r="F20" t="s">
        <v>149</v>
      </c>
      <c r="G20" t="s">
        <v>149</v>
      </c>
      <c r="H20" t="s">
        <v>149</v>
      </c>
      <c r="I20" t="s">
        <v>149</v>
      </c>
      <c r="J20" t="s">
        <v>149</v>
      </c>
      <c r="K20" t="s">
        <v>149</v>
      </c>
      <c r="L20" t="s">
        <v>149</v>
      </c>
      <c r="M20" t="s">
        <v>149</v>
      </c>
      <c r="N20" t="s">
        <v>149</v>
      </c>
      <c r="O20" t="s">
        <v>149</v>
      </c>
      <c r="P20" t="s">
        <v>149</v>
      </c>
      <c r="Q20" t="s">
        <v>149</v>
      </c>
      <c r="R20" t="s">
        <v>149</v>
      </c>
      <c r="S20" t="s">
        <v>149</v>
      </c>
      <c r="T20" t="s">
        <v>149</v>
      </c>
      <c r="U20" t="s">
        <v>149</v>
      </c>
      <c r="V20" t="s">
        <v>149</v>
      </c>
      <c r="W20" t="s">
        <v>149</v>
      </c>
      <c r="X20" t="s">
        <v>149</v>
      </c>
      <c r="Y20" t="s">
        <v>149</v>
      </c>
      <c r="Z20" t="s">
        <v>149</v>
      </c>
      <c r="AA20" t="s">
        <v>149</v>
      </c>
      <c r="AB20" t="s">
        <v>149</v>
      </c>
      <c r="AC20" t="s">
        <v>149</v>
      </c>
      <c r="AD20" t="s">
        <v>149</v>
      </c>
      <c r="AE20" t="s">
        <v>149</v>
      </c>
      <c r="AF20" t="s">
        <v>149</v>
      </c>
      <c r="AG20" t="s">
        <v>149</v>
      </c>
      <c r="AH20" t="s">
        <v>149</v>
      </c>
      <c r="AI20" t="s">
        <v>149</v>
      </c>
      <c r="AJ20" t="s">
        <v>149</v>
      </c>
      <c r="AK20" t="s">
        <v>149</v>
      </c>
      <c r="AL20" t="s">
        <v>149</v>
      </c>
      <c r="AM20" t="s">
        <v>149</v>
      </c>
      <c r="AN20" t="s">
        <v>149</v>
      </c>
      <c r="AO20" t="s">
        <v>149</v>
      </c>
      <c r="AP20" t="s">
        <v>149</v>
      </c>
      <c r="AQ20" t="s">
        <v>149</v>
      </c>
      <c r="AR20" t="s">
        <v>149</v>
      </c>
      <c r="AS20" t="s">
        <v>149</v>
      </c>
      <c r="AT20" t="s">
        <v>149</v>
      </c>
      <c r="AU20" t="s">
        <v>149</v>
      </c>
      <c r="AV20" t="s">
        <v>149</v>
      </c>
      <c r="AW20" t="s">
        <v>149</v>
      </c>
      <c r="AX20" t="s">
        <v>149</v>
      </c>
      <c r="AY20" t="s">
        <v>149</v>
      </c>
      <c r="AZ20" t="s">
        <v>149</v>
      </c>
      <c r="BA20" t="s">
        <v>149</v>
      </c>
      <c r="BB20" t="s">
        <v>149</v>
      </c>
      <c r="BC20" t="s">
        <v>149</v>
      </c>
      <c r="BD20" t="s">
        <v>149</v>
      </c>
      <c r="BE20" t="s">
        <v>149</v>
      </c>
      <c r="BF20" t="s">
        <v>149</v>
      </c>
      <c r="BG20" t="s">
        <v>149</v>
      </c>
      <c r="BH20" t="s">
        <v>149</v>
      </c>
      <c r="BI20" t="s">
        <v>149</v>
      </c>
      <c r="BJ20" t="s">
        <v>149</v>
      </c>
      <c r="BK20" t="s">
        <v>149</v>
      </c>
      <c r="BL20" t="s">
        <v>149</v>
      </c>
      <c r="BM20" t="s">
        <v>149</v>
      </c>
      <c r="BN20" t="s">
        <v>149</v>
      </c>
      <c r="BO20" t="s">
        <v>149</v>
      </c>
      <c r="BP20" t="s">
        <v>149</v>
      </c>
      <c r="BQ20" t="s">
        <v>149</v>
      </c>
      <c r="BR20" t="s">
        <v>149</v>
      </c>
      <c r="BS20" t="s">
        <v>149</v>
      </c>
      <c r="BT20" t="s">
        <v>149</v>
      </c>
      <c r="BU20" t="s">
        <v>149</v>
      </c>
      <c r="BV20" t="s">
        <v>149</v>
      </c>
      <c r="BW20" t="s">
        <v>149</v>
      </c>
      <c r="BX20" t="s">
        <v>149</v>
      </c>
      <c r="BY20" t="s">
        <v>149</v>
      </c>
      <c r="BZ20" t="s">
        <v>149</v>
      </c>
      <c r="CA20" t="s">
        <v>149</v>
      </c>
      <c r="CB20" t="s">
        <v>149</v>
      </c>
      <c r="CC20" t="s">
        <v>149</v>
      </c>
      <c r="CD20" t="s">
        <v>149</v>
      </c>
      <c r="CE20" t="s">
        <v>149</v>
      </c>
      <c r="CF20" t="s">
        <v>149</v>
      </c>
      <c r="CG20" t="s">
        <v>149</v>
      </c>
      <c r="CH20" t="s">
        <v>149</v>
      </c>
      <c r="CI20" t="s">
        <v>149</v>
      </c>
      <c r="CJ20" t="s">
        <v>149</v>
      </c>
      <c r="CK20" t="s">
        <v>149</v>
      </c>
      <c r="CL20" t="s">
        <v>149</v>
      </c>
      <c r="CM20" t="s">
        <v>149</v>
      </c>
      <c r="CN20" t="s">
        <v>149</v>
      </c>
      <c r="CO20" t="s">
        <v>149</v>
      </c>
      <c r="CP20" t="s">
        <v>149</v>
      </c>
      <c r="CQ20" t="s">
        <v>149</v>
      </c>
      <c r="CR20" t="s">
        <v>149</v>
      </c>
      <c r="CS20" t="s">
        <v>149</v>
      </c>
      <c r="CT20" t="s">
        <v>149</v>
      </c>
      <c r="CU20" t="s">
        <v>149</v>
      </c>
      <c r="CV20" t="s">
        <v>149</v>
      </c>
      <c r="CW20" t="s">
        <v>149</v>
      </c>
      <c r="CX20" t="s">
        <v>149</v>
      </c>
      <c r="CY20" t="s">
        <v>149</v>
      </c>
      <c r="CZ20" t="s">
        <v>149</v>
      </c>
      <c r="DA20" t="s">
        <v>149</v>
      </c>
      <c r="DC20" t="s">
        <v>149</v>
      </c>
    </row>
    <row r="21" spans="1:107" x14ac:dyDescent="0.25">
      <c r="A21" t="s">
        <v>149</v>
      </c>
      <c r="B21" t="s">
        <v>149</v>
      </c>
      <c r="C21" t="s">
        <v>149</v>
      </c>
      <c r="D21" t="s">
        <v>149</v>
      </c>
      <c r="E21" t="s">
        <v>149</v>
      </c>
      <c r="F21" t="s">
        <v>149</v>
      </c>
      <c r="G21" t="s">
        <v>149</v>
      </c>
      <c r="H21" t="s">
        <v>149</v>
      </c>
      <c r="I21" t="s">
        <v>149</v>
      </c>
      <c r="J21" t="s">
        <v>149</v>
      </c>
      <c r="K21" t="s">
        <v>149</v>
      </c>
      <c r="L21" t="s">
        <v>149</v>
      </c>
      <c r="M21" t="s">
        <v>149</v>
      </c>
      <c r="N21" t="s">
        <v>149</v>
      </c>
      <c r="O21" t="s">
        <v>149</v>
      </c>
      <c r="P21" t="s">
        <v>149</v>
      </c>
      <c r="Q21" t="s">
        <v>149</v>
      </c>
      <c r="R21" t="s">
        <v>149</v>
      </c>
      <c r="S21" t="s">
        <v>149</v>
      </c>
      <c r="T21" t="s">
        <v>149</v>
      </c>
      <c r="U21" t="s">
        <v>149</v>
      </c>
      <c r="V21" t="s">
        <v>149</v>
      </c>
      <c r="W21" t="s">
        <v>149</v>
      </c>
      <c r="X21" t="s">
        <v>149</v>
      </c>
      <c r="Y21" t="s">
        <v>149</v>
      </c>
      <c r="Z21" t="s">
        <v>149</v>
      </c>
      <c r="AA21" t="s">
        <v>149</v>
      </c>
      <c r="AB21" t="s">
        <v>149</v>
      </c>
      <c r="AC21" t="s">
        <v>149</v>
      </c>
      <c r="AD21" t="s">
        <v>149</v>
      </c>
      <c r="AE21" t="s">
        <v>149</v>
      </c>
      <c r="AF21" t="s">
        <v>149</v>
      </c>
      <c r="AG21" t="s">
        <v>149</v>
      </c>
      <c r="AH21" t="s">
        <v>149</v>
      </c>
      <c r="AI21" t="s">
        <v>149</v>
      </c>
      <c r="AJ21" t="s">
        <v>149</v>
      </c>
      <c r="AK21" t="s">
        <v>149</v>
      </c>
      <c r="AL21" t="s">
        <v>149</v>
      </c>
      <c r="AM21" t="s">
        <v>149</v>
      </c>
      <c r="AN21" t="s">
        <v>149</v>
      </c>
      <c r="AO21" t="s">
        <v>149</v>
      </c>
      <c r="AP21" t="s">
        <v>149</v>
      </c>
      <c r="AQ21" t="s">
        <v>149</v>
      </c>
      <c r="AR21" t="s">
        <v>149</v>
      </c>
      <c r="AS21" t="s">
        <v>149</v>
      </c>
      <c r="AT21" t="s">
        <v>149</v>
      </c>
      <c r="AU21" t="s">
        <v>149</v>
      </c>
      <c r="AV21" t="s">
        <v>149</v>
      </c>
      <c r="AW21" t="s">
        <v>149</v>
      </c>
      <c r="AX21" t="s">
        <v>149</v>
      </c>
      <c r="AY21" t="s">
        <v>149</v>
      </c>
      <c r="AZ21" t="s">
        <v>149</v>
      </c>
      <c r="BA21" t="s">
        <v>149</v>
      </c>
      <c r="BB21" t="s">
        <v>149</v>
      </c>
      <c r="BC21" t="s">
        <v>149</v>
      </c>
      <c r="BD21" t="s">
        <v>149</v>
      </c>
      <c r="BE21" t="s">
        <v>149</v>
      </c>
      <c r="BF21" t="s">
        <v>149</v>
      </c>
      <c r="BG21" t="s">
        <v>149</v>
      </c>
      <c r="BH21" t="s">
        <v>149</v>
      </c>
      <c r="BI21" t="s">
        <v>149</v>
      </c>
      <c r="BJ21" t="s">
        <v>149</v>
      </c>
      <c r="BK21" t="s">
        <v>149</v>
      </c>
      <c r="BL21" t="s">
        <v>149</v>
      </c>
      <c r="BM21" t="s">
        <v>149</v>
      </c>
      <c r="BN21" t="s">
        <v>149</v>
      </c>
      <c r="BO21" t="s">
        <v>149</v>
      </c>
      <c r="BP21" t="s">
        <v>149</v>
      </c>
      <c r="BQ21" t="s">
        <v>149</v>
      </c>
      <c r="BR21" t="s">
        <v>149</v>
      </c>
      <c r="BS21" t="s">
        <v>149</v>
      </c>
      <c r="BT21" t="s">
        <v>149</v>
      </c>
      <c r="BU21" t="s">
        <v>149</v>
      </c>
      <c r="BV21" t="s">
        <v>149</v>
      </c>
      <c r="BW21" t="s">
        <v>149</v>
      </c>
      <c r="BX21" t="s">
        <v>149</v>
      </c>
      <c r="BY21" t="s">
        <v>149</v>
      </c>
      <c r="BZ21" t="s">
        <v>149</v>
      </c>
      <c r="CA21" t="s">
        <v>149</v>
      </c>
      <c r="CB21" t="s">
        <v>149</v>
      </c>
      <c r="CC21" t="s">
        <v>149</v>
      </c>
      <c r="CD21" t="s">
        <v>149</v>
      </c>
      <c r="CE21" t="s">
        <v>149</v>
      </c>
      <c r="CF21" t="s">
        <v>149</v>
      </c>
      <c r="CG21" t="s">
        <v>149</v>
      </c>
      <c r="CH21" t="s">
        <v>149</v>
      </c>
      <c r="CI21" t="s">
        <v>149</v>
      </c>
      <c r="CJ21" t="s">
        <v>149</v>
      </c>
      <c r="CK21" t="s">
        <v>149</v>
      </c>
      <c r="CL21" t="s">
        <v>149</v>
      </c>
      <c r="CM21" t="s">
        <v>149</v>
      </c>
      <c r="CN21" t="s">
        <v>149</v>
      </c>
      <c r="CO21" t="s">
        <v>149</v>
      </c>
      <c r="CP21" t="s">
        <v>149</v>
      </c>
      <c r="CQ21" t="s">
        <v>149</v>
      </c>
      <c r="CR21" t="s">
        <v>149</v>
      </c>
      <c r="CS21" t="s">
        <v>149</v>
      </c>
      <c r="CT21" t="s">
        <v>149</v>
      </c>
      <c r="CU21" t="s">
        <v>149</v>
      </c>
      <c r="CV21" t="s">
        <v>149</v>
      </c>
      <c r="CW21" t="s">
        <v>149</v>
      </c>
      <c r="CX21" t="s">
        <v>149</v>
      </c>
      <c r="CY21" t="s">
        <v>149</v>
      </c>
      <c r="CZ21" t="s">
        <v>149</v>
      </c>
      <c r="DA21" t="s">
        <v>149</v>
      </c>
      <c r="DC21" t="s">
        <v>149</v>
      </c>
    </row>
    <row r="22" spans="1:107" x14ac:dyDescent="0.25">
      <c r="A22" t="s">
        <v>149</v>
      </c>
      <c r="B22" t="s">
        <v>149</v>
      </c>
      <c r="C22" t="s">
        <v>149</v>
      </c>
      <c r="D22" t="s">
        <v>149</v>
      </c>
      <c r="E22" t="s">
        <v>149</v>
      </c>
      <c r="F22" t="s">
        <v>149</v>
      </c>
      <c r="G22" t="s">
        <v>149</v>
      </c>
      <c r="H22" t="s">
        <v>149</v>
      </c>
      <c r="I22" t="s">
        <v>149</v>
      </c>
      <c r="J22" t="s">
        <v>149</v>
      </c>
      <c r="K22" t="s">
        <v>149</v>
      </c>
      <c r="L22" t="s">
        <v>149</v>
      </c>
      <c r="M22" t="s">
        <v>149</v>
      </c>
      <c r="N22" t="s">
        <v>149</v>
      </c>
      <c r="O22" t="s">
        <v>149</v>
      </c>
      <c r="P22" t="s">
        <v>149</v>
      </c>
      <c r="Q22" t="s">
        <v>149</v>
      </c>
      <c r="R22" t="s">
        <v>149</v>
      </c>
      <c r="S22" t="s">
        <v>149</v>
      </c>
      <c r="T22" t="s">
        <v>149</v>
      </c>
      <c r="U22" t="s">
        <v>149</v>
      </c>
      <c r="V22" t="s">
        <v>149</v>
      </c>
      <c r="W22" t="s">
        <v>149</v>
      </c>
      <c r="X22" t="s">
        <v>149</v>
      </c>
      <c r="Y22" t="s">
        <v>149</v>
      </c>
      <c r="Z22" t="s">
        <v>149</v>
      </c>
      <c r="AA22" t="s">
        <v>149</v>
      </c>
      <c r="AB22" t="s">
        <v>149</v>
      </c>
      <c r="AC22" t="s">
        <v>149</v>
      </c>
      <c r="AD22" t="s">
        <v>149</v>
      </c>
      <c r="AE22" t="s">
        <v>149</v>
      </c>
      <c r="AF22" t="s">
        <v>149</v>
      </c>
      <c r="AG22" t="s">
        <v>149</v>
      </c>
      <c r="AH22" t="s">
        <v>149</v>
      </c>
      <c r="AI22" t="s">
        <v>149</v>
      </c>
      <c r="AJ22" t="s">
        <v>149</v>
      </c>
      <c r="AK22" t="s">
        <v>149</v>
      </c>
      <c r="AL22" t="s">
        <v>149</v>
      </c>
      <c r="AM22" t="s">
        <v>149</v>
      </c>
      <c r="AN22" t="s">
        <v>149</v>
      </c>
      <c r="AO22" t="s">
        <v>149</v>
      </c>
      <c r="AP22" t="s">
        <v>149</v>
      </c>
      <c r="AQ22" t="s">
        <v>149</v>
      </c>
      <c r="AR22" t="s">
        <v>149</v>
      </c>
      <c r="AS22" t="s">
        <v>149</v>
      </c>
      <c r="AT22" t="s">
        <v>149</v>
      </c>
      <c r="AU22" t="s">
        <v>149</v>
      </c>
      <c r="AV22" t="s">
        <v>149</v>
      </c>
      <c r="AW22" t="s">
        <v>149</v>
      </c>
      <c r="AX22" t="s">
        <v>149</v>
      </c>
      <c r="AY22" t="s">
        <v>149</v>
      </c>
      <c r="AZ22" t="s">
        <v>149</v>
      </c>
      <c r="BA22" t="s">
        <v>149</v>
      </c>
      <c r="BB22" t="s">
        <v>149</v>
      </c>
      <c r="BC22" t="s">
        <v>149</v>
      </c>
      <c r="BD22" t="s">
        <v>149</v>
      </c>
      <c r="BE22" t="s">
        <v>149</v>
      </c>
      <c r="BF22" t="s">
        <v>149</v>
      </c>
      <c r="BG22" t="s">
        <v>149</v>
      </c>
      <c r="BH22" t="s">
        <v>149</v>
      </c>
      <c r="BI22" t="s">
        <v>149</v>
      </c>
      <c r="BJ22" t="s">
        <v>149</v>
      </c>
      <c r="BK22" t="s">
        <v>149</v>
      </c>
      <c r="BL22" t="s">
        <v>149</v>
      </c>
      <c r="BM22" t="s">
        <v>149</v>
      </c>
      <c r="BN22" t="s">
        <v>149</v>
      </c>
      <c r="BO22" t="s">
        <v>149</v>
      </c>
      <c r="BP22" t="s">
        <v>149</v>
      </c>
      <c r="BQ22" t="s">
        <v>149</v>
      </c>
      <c r="BR22" t="s">
        <v>149</v>
      </c>
      <c r="BS22" t="s">
        <v>149</v>
      </c>
      <c r="BT22" t="s">
        <v>149</v>
      </c>
      <c r="BU22" t="s">
        <v>149</v>
      </c>
      <c r="BV22" t="s">
        <v>149</v>
      </c>
      <c r="BW22" t="s">
        <v>149</v>
      </c>
      <c r="BX22" t="s">
        <v>149</v>
      </c>
      <c r="BY22" t="s">
        <v>149</v>
      </c>
      <c r="BZ22" t="s">
        <v>149</v>
      </c>
      <c r="CA22" t="s">
        <v>149</v>
      </c>
      <c r="CB22" t="s">
        <v>149</v>
      </c>
      <c r="CC22" t="s">
        <v>149</v>
      </c>
      <c r="CD22" t="s">
        <v>149</v>
      </c>
      <c r="CE22" t="s">
        <v>149</v>
      </c>
      <c r="CF22" t="s">
        <v>149</v>
      </c>
      <c r="CG22" t="s">
        <v>149</v>
      </c>
      <c r="CH22" t="s">
        <v>149</v>
      </c>
      <c r="CI22" t="s">
        <v>149</v>
      </c>
      <c r="CJ22" t="s">
        <v>149</v>
      </c>
      <c r="CK22" t="s">
        <v>149</v>
      </c>
      <c r="CL22" t="s">
        <v>149</v>
      </c>
      <c r="CM22" t="s">
        <v>149</v>
      </c>
      <c r="CN22" t="s">
        <v>149</v>
      </c>
      <c r="CO22" t="s">
        <v>149</v>
      </c>
      <c r="CP22" t="s">
        <v>149</v>
      </c>
      <c r="CQ22" t="s">
        <v>149</v>
      </c>
      <c r="CR22" t="s">
        <v>149</v>
      </c>
      <c r="CS22" t="s">
        <v>149</v>
      </c>
      <c r="CT22" t="s">
        <v>149</v>
      </c>
      <c r="CU22" t="s">
        <v>149</v>
      </c>
      <c r="CV22" t="s">
        <v>149</v>
      </c>
      <c r="CW22" t="s">
        <v>149</v>
      </c>
      <c r="CX22" t="s">
        <v>149</v>
      </c>
      <c r="CY22" t="s">
        <v>149</v>
      </c>
      <c r="CZ22" t="s">
        <v>149</v>
      </c>
      <c r="DA22" t="s">
        <v>149</v>
      </c>
      <c r="DC22" t="s">
        <v>149</v>
      </c>
    </row>
    <row r="23" spans="1:107" x14ac:dyDescent="0.25">
      <c r="A23" t="s">
        <v>149</v>
      </c>
      <c r="B23" t="s">
        <v>149</v>
      </c>
      <c r="C23" t="s">
        <v>149</v>
      </c>
      <c r="D23" t="s">
        <v>149</v>
      </c>
      <c r="E23" t="s">
        <v>149</v>
      </c>
      <c r="F23" t="s">
        <v>149</v>
      </c>
      <c r="G23" t="s">
        <v>149</v>
      </c>
      <c r="H23" t="s">
        <v>149</v>
      </c>
      <c r="I23" t="s">
        <v>149</v>
      </c>
      <c r="J23" t="s">
        <v>149</v>
      </c>
      <c r="K23" t="s">
        <v>149</v>
      </c>
      <c r="L23" t="s">
        <v>149</v>
      </c>
      <c r="M23" t="s">
        <v>149</v>
      </c>
      <c r="N23" t="s">
        <v>149</v>
      </c>
      <c r="O23" t="s">
        <v>149</v>
      </c>
      <c r="P23" t="s">
        <v>149</v>
      </c>
      <c r="Q23" t="s">
        <v>149</v>
      </c>
      <c r="R23" t="s">
        <v>149</v>
      </c>
      <c r="S23" t="s">
        <v>149</v>
      </c>
      <c r="T23" t="s">
        <v>149</v>
      </c>
      <c r="U23" t="s">
        <v>149</v>
      </c>
      <c r="V23" t="s">
        <v>149</v>
      </c>
      <c r="W23" t="s">
        <v>149</v>
      </c>
      <c r="X23" t="s">
        <v>149</v>
      </c>
      <c r="Y23" t="s">
        <v>149</v>
      </c>
      <c r="Z23" t="s">
        <v>149</v>
      </c>
      <c r="AA23" t="s">
        <v>149</v>
      </c>
      <c r="AB23" t="s">
        <v>149</v>
      </c>
      <c r="AC23" t="s">
        <v>149</v>
      </c>
      <c r="AD23" t="s">
        <v>149</v>
      </c>
      <c r="AE23" t="s">
        <v>149</v>
      </c>
      <c r="AF23" t="s">
        <v>149</v>
      </c>
      <c r="AG23" t="s">
        <v>149</v>
      </c>
      <c r="AH23" t="s">
        <v>149</v>
      </c>
      <c r="AI23" t="s">
        <v>149</v>
      </c>
      <c r="AJ23" t="s">
        <v>149</v>
      </c>
      <c r="AK23" t="s">
        <v>149</v>
      </c>
      <c r="AL23" t="s">
        <v>149</v>
      </c>
      <c r="AM23" t="s">
        <v>149</v>
      </c>
      <c r="AN23" t="s">
        <v>149</v>
      </c>
      <c r="AO23" t="s">
        <v>149</v>
      </c>
      <c r="AP23" t="s">
        <v>149</v>
      </c>
      <c r="AQ23" t="s">
        <v>149</v>
      </c>
      <c r="AR23" t="s">
        <v>149</v>
      </c>
      <c r="AS23" t="s">
        <v>149</v>
      </c>
      <c r="AT23" t="s">
        <v>149</v>
      </c>
      <c r="AU23" t="s">
        <v>149</v>
      </c>
      <c r="AV23" t="s">
        <v>149</v>
      </c>
      <c r="AW23" t="s">
        <v>149</v>
      </c>
      <c r="AX23" t="s">
        <v>149</v>
      </c>
      <c r="AY23" t="s">
        <v>149</v>
      </c>
      <c r="AZ23" t="s">
        <v>149</v>
      </c>
      <c r="BA23" t="s">
        <v>149</v>
      </c>
      <c r="BB23" t="s">
        <v>149</v>
      </c>
      <c r="BC23" t="s">
        <v>149</v>
      </c>
      <c r="BD23" t="s">
        <v>149</v>
      </c>
      <c r="BE23" t="s">
        <v>149</v>
      </c>
      <c r="BF23" t="s">
        <v>149</v>
      </c>
      <c r="BG23" t="s">
        <v>149</v>
      </c>
      <c r="BH23" t="s">
        <v>149</v>
      </c>
      <c r="BI23" t="s">
        <v>149</v>
      </c>
      <c r="BJ23" t="s">
        <v>149</v>
      </c>
      <c r="BK23" t="s">
        <v>149</v>
      </c>
      <c r="BL23" t="s">
        <v>149</v>
      </c>
      <c r="BM23" t="s">
        <v>149</v>
      </c>
      <c r="BN23" t="s">
        <v>149</v>
      </c>
      <c r="BO23" t="s">
        <v>149</v>
      </c>
      <c r="BP23" t="s">
        <v>149</v>
      </c>
      <c r="BQ23" t="s">
        <v>149</v>
      </c>
      <c r="BR23" t="s">
        <v>149</v>
      </c>
      <c r="BS23" t="s">
        <v>149</v>
      </c>
      <c r="BT23" t="s">
        <v>149</v>
      </c>
      <c r="BU23" t="s">
        <v>149</v>
      </c>
      <c r="BV23" t="s">
        <v>149</v>
      </c>
      <c r="BW23" t="s">
        <v>149</v>
      </c>
      <c r="BX23" t="s">
        <v>149</v>
      </c>
      <c r="BY23" t="s">
        <v>149</v>
      </c>
      <c r="BZ23" t="s">
        <v>149</v>
      </c>
      <c r="CA23" t="s">
        <v>149</v>
      </c>
      <c r="CB23" t="s">
        <v>149</v>
      </c>
      <c r="CC23" t="s">
        <v>149</v>
      </c>
      <c r="CD23" t="s">
        <v>149</v>
      </c>
      <c r="CE23" t="s">
        <v>149</v>
      </c>
      <c r="CF23" t="s">
        <v>149</v>
      </c>
      <c r="CG23" t="s">
        <v>149</v>
      </c>
      <c r="CH23" t="s">
        <v>149</v>
      </c>
      <c r="CI23" t="s">
        <v>149</v>
      </c>
      <c r="CJ23" t="s">
        <v>149</v>
      </c>
      <c r="CK23" t="s">
        <v>149</v>
      </c>
      <c r="CL23" t="s">
        <v>149</v>
      </c>
      <c r="CM23" t="s">
        <v>149</v>
      </c>
      <c r="CN23" t="s">
        <v>149</v>
      </c>
      <c r="CO23" t="s">
        <v>149</v>
      </c>
      <c r="CP23" t="s">
        <v>149</v>
      </c>
      <c r="CQ23" t="s">
        <v>149</v>
      </c>
      <c r="CR23" t="s">
        <v>149</v>
      </c>
      <c r="CS23" t="s">
        <v>149</v>
      </c>
      <c r="CT23" t="s">
        <v>149</v>
      </c>
      <c r="CU23" t="s">
        <v>149</v>
      </c>
      <c r="CV23" t="s">
        <v>149</v>
      </c>
      <c r="CW23" t="s">
        <v>149</v>
      </c>
      <c r="CX23" t="s">
        <v>149</v>
      </c>
      <c r="CY23" t="s">
        <v>149</v>
      </c>
      <c r="CZ23" t="s">
        <v>149</v>
      </c>
      <c r="DA23" t="s">
        <v>149</v>
      </c>
      <c r="DC23" t="s">
        <v>149</v>
      </c>
    </row>
    <row r="24" spans="1:107" x14ac:dyDescent="0.25">
      <c r="A24" t="s">
        <v>149</v>
      </c>
      <c r="B24" t="s">
        <v>149</v>
      </c>
      <c r="C24" t="s">
        <v>149</v>
      </c>
      <c r="D24" t="s">
        <v>149</v>
      </c>
      <c r="E24" t="s">
        <v>149</v>
      </c>
      <c r="F24" t="s">
        <v>149</v>
      </c>
      <c r="G24" t="s">
        <v>149</v>
      </c>
      <c r="H24" t="s">
        <v>149</v>
      </c>
      <c r="I24" t="s">
        <v>149</v>
      </c>
      <c r="J24" t="s">
        <v>149</v>
      </c>
      <c r="K24" t="s">
        <v>149</v>
      </c>
      <c r="L24" t="s">
        <v>149</v>
      </c>
      <c r="M24" t="s">
        <v>149</v>
      </c>
      <c r="N24" t="s">
        <v>149</v>
      </c>
      <c r="O24" t="s">
        <v>149</v>
      </c>
      <c r="P24" t="s">
        <v>149</v>
      </c>
      <c r="Q24" t="s">
        <v>149</v>
      </c>
      <c r="R24" t="s">
        <v>149</v>
      </c>
      <c r="S24" t="s">
        <v>149</v>
      </c>
      <c r="T24" t="s">
        <v>149</v>
      </c>
      <c r="U24" t="s">
        <v>149</v>
      </c>
      <c r="V24" t="s">
        <v>149</v>
      </c>
      <c r="W24" t="s">
        <v>149</v>
      </c>
      <c r="X24" t="s">
        <v>149</v>
      </c>
      <c r="Y24" t="s">
        <v>149</v>
      </c>
      <c r="Z24" t="s">
        <v>149</v>
      </c>
      <c r="AA24" t="s">
        <v>149</v>
      </c>
      <c r="AB24" t="s">
        <v>149</v>
      </c>
      <c r="AC24" t="s">
        <v>149</v>
      </c>
      <c r="AD24" t="s">
        <v>149</v>
      </c>
      <c r="AE24" t="s">
        <v>149</v>
      </c>
      <c r="AF24" t="s">
        <v>149</v>
      </c>
      <c r="AG24" t="s">
        <v>149</v>
      </c>
      <c r="AH24" t="s">
        <v>149</v>
      </c>
      <c r="AI24" t="s">
        <v>149</v>
      </c>
      <c r="AJ24" t="s">
        <v>149</v>
      </c>
      <c r="AK24" t="s">
        <v>149</v>
      </c>
      <c r="AL24" t="s">
        <v>149</v>
      </c>
      <c r="AM24" t="s">
        <v>149</v>
      </c>
      <c r="AN24" t="s">
        <v>149</v>
      </c>
      <c r="AO24" t="s">
        <v>149</v>
      </c>
      <c r="AP24" t="s">
        <v>149</v>
      </c>
      <c r="AQ24" t="s">
        <v>149</v>
      </c>
      <c r="AR24" t="s">
        <v>149</v>
      </c>
      <c r="AS24" t="s">
        <v>149</v>
      </c>
      <c r="AT24" t="s">
        <v>149</v>
      </c>
      <c r="AU24" t="s">
        <v>149</v>
      </c>
      <c r="AV24" t="s">
        <v>149</v>
      </c>
      <c r="AW24" t="s">
        <v>149</v>
      </c>
      <c r="AX24" t="s">
        <v>149</v>
      </c>
      <c r="AY24" t="s">
        <v>149</v>
      </c>
      <c r="AZ24" t="s">
        <v>149</v>
      </c>
      <c r="BA24" t="s">
        <v>149</v>
      </c>
      <c r="BB24" t="s">
        <v>149</v>
      </c>
      <c r="BC24" t="s">
        <v>149</v>
      </c>
      <c r="BD24" t="s">
        <v>149</v>
      </c>
      <c r="BE24" t="s">
        <v>149</v>
      </c>
      <c r="BF24" t="s">
        <v>149</v>
      </c>
      <c r="BG24" t="s">
        <v>149</v>
      </c>
      <c r="BH24" t="s">
        <v>149</v>
      </c>
      <c r="BI24" t="s">
        <v>149</v>
      </c>
      <c r="BJ24" t="s">
        <v>149</v>
      </c>
      <c r="BK24" t="s">
        <v>149</v>
      </c>
      <c r="BL24" t="s">
        <v>149</v>
      </c>
      <c r="BM24" t="s">
        <v>149</v>
      </c>
      <c r="BN24" t="s">
        <v>149</v>
      </c>
      <c r="BO24" t="s">
        <v>149</v>
      </c>
      <c r="BP24" t="s">
        <v>149</v>
      </c>
      <c r="BQ24" t="s">
        <v>149</v>
      </c>
      <c r="BR24" t="s">
        <v>149</v>
      </c>
      <c r="BS24" t="s">
        <v>149</v>
      </c>
      <c r="BT24" t="s">
        <v>149</v>
      </c>
      <c r="BU24" t="s">
        <v>149</v>
      </c>
      <c r="BV24" t="s">
        <v>149</v>
      </c>
      <c r="BW24" t="s">
        <v>149</v>
      </c>
      <c r="BX24" t="s">
        <v>149</v>
      </c>
      <c r="BY24" t="s">
        <v>149</v>
      </c>
      <c r="BZ24" t="s">
        <v>149</v>
      </c>
      <c r="CA24" t="s">
        <v>149</v>
      </c>
      <c r="CB24" t="s">
        <v>149</v>
      </c>
      <c r="CC24" t="s">
        <v>149</v>
      </c>
      <c r="CD24" t="s">
        <v>149</v>
      </c>
      <c r="CE24" t="s">
        <v>149</v>
      </c>
      <c r="CF24" t="s">
        <v>149</v>
      </c>
      <c r="CG24" t="s">
        <v>149</v>
      </c>
      <c r="CH24" t="s">
        <v>149</v>
      </c>
      <c r="CI24" t="s">
        <v>149</v>
      </c>
      <c r="CJ24" t="s">
        <v>149</v>
      </c>
      <c r="CK24" t="s">
        <v>149</v>
      </c>
      <c r="CL24" t="s">
        <v>149</v>
      </c>
      <c r="CM24" t="s">
        <v>149</v>
      </c>
      <c r="CN24" t="s">
        <v>149</v>
      </c>
      <c r="CO24" t="s">
        <v>149</v>
      </c>
      <c r="CP24" t="s">
        <v>149</v>
      </c>
      <c r="CQ24" t="s">
        <v>149</v>
      </c>
      <c r="CR24" t="s">
        <v>149</v>
      </c>
      <c r="CS24" t="s">
        <v>149</v>
      </c>
      <c r="CT24" t="s">
        <v>149</v>
      </c>
      <c r="CU24" t="s">
        <v>149</v>
      </c>
      <c r="CV24" t="s">
        <v>149</v>
      </c>
      <c r="CW24" t="s">
        <v>149</v>
      </c>
      <c r="CX24" t="s">
        <v>149</v>
      </c>
      <c r="CY24" t="s">
        <v>149</v>
      </c>
      <c r="CZ24" t="s">
        <v>149</v>
      </c>
      <c r="DA24" t="s">
        <v>149</v>
      </c>
      <c r="DC24" t="s">
        <v>149</v>
      </c>
    </row>
    <row r="25" spans="1:107" x14ac:dyDescent="0.25">
      <c r="A25" t="s">
        <v>149</v>
      </c>
      <c r="B25" t="s">
        <v>149</v>
      </c>
      <c r="C25" t="s">
        <v>149</v>
      </c>
      <c r="D25" t="s">
        <v>149</v>
      </c>
      <c r="E25" t="s">
        <v>149</v>
      </c>
      <c r="F25" t="s">
        <v>149</v>
      </c>
      <c r="G25" t="s">
        <v>149</v>
      </c>
      <c r="H25" t="s">
        <v>149</v>
      </c>
      <c r="I25" t="s">
        <v>149</v>
      </c>
      <c r="J25" t="s">
        <v>149</v>
      </c>
      <c r="K25" t="s">
        <v>149</v>
      </c>
      <c r="L25" t="s">
        <v>149</v>
      </c>
      <c r="M25" t="s">
        <v>149</v>
      </c>
      <c r="N25" t="s">
        <v>149</v>
      </c>
      <c r="O25" t="s">
        <v>149</v>
      </c>
      <c r="P25" t="s">
        <v>149</v>
      </c>
      <c r="Q25" t="s">
        <v>149</v>
      </c>
      <c r="R25" t="s">
        <v>149</v>
      </c>
      <c r="S25" t="s">
        <v>149</v>
      </c>
      <c r="T25" t="s">
        <v>149</v>
      </c>
      <c r="U25" t="s">
        <v>149</v>
      </c>
      <c r="V25" t="s">
        <v>149</v>
      </c>
      <c r="W25" t="s">
        <v>149</v>
      </c>
      <c r="X25" t="s">
        <v>149</v>
      </c>
      <c r="Y25" t="s">
        <v>149</v>
      </c>
      <c r="Z25" t="s">
        <v>149</v>
      </c>
      <c r="AA25" t="s">
        <v>149</v>
      </c>
      <c r="AB25" t="s">
        <v>149</v>
      </c>
      <c r="AC25" t="s">
        <v>149</v>
      </c>
      <c r="AD25" t="s">
        <v>149</v>
      </c>
      <c r="AE25" t="s">
        <v>149</v>
      </c>
      <c r="AF25" t="s">
        <v>149</v>
      </c>
      <c r="AG25" t="s">
        <v>149</v>
      </c>
      <c r="AH25" t="s">
        <v>149</v>
      </c>
      <c r="AI25" t="s">
        <v>149</v>
      </c>
      <c r="AJ25" t="s">
        <v>149</v>
      </c>
      <c r="AK25" t="s">
        <v>149</v>
      </c>
      <c r="AL25" t="s">
        <v>149</v>
      </c>
      <c r="AM25" t="s">
        <v>149</v>
      </c>
      <c r="AN25" t="s">
        <v>149</v>
      </c>
      <c r="AO25" t="s">
        <v>149</v>
      </c>
      <c r="AP25" t="s">
        <v>149</v>
      </c>
      <c r="AQ25" t="s">
        <v>149</v>
      </c>
      <c r="AR25" t="s">
        <v>149</v>
      </c>
      <c r="AS25" t="s">
        <v>149</v>
      </c>
      <c r="AT25" t="s">
        <v>149</v>
      </c>
      <c r="AU25" t="s">
        <v>149</v>
      </c>
      <c r="AV25" t="s">
        <v>149</v>
      </c>
      <c r="AW25" t="s">
        <v>149</v>
      </c>
      <c r="AX25" t="s">
        <v>149</v>
      </c>
      <c r="AY25" t="s">
        <v>149</v>
      </c>
      <c r="AZ25" t="s">
        <v>149</v>
      </c>
      <c r="BA25" t="s">
        <v>149</v>
      </c>
      <c r="BB25" t="s">
        <v>149</v>
      </c>
      <c r="BC25" t="s">
        <v>149</v>
      </c>
      <c r="BD25" t="s">
        <v>149</v>
      </c>
      <c r="BE25" t="s">
        <v>149</v>
      </c>
      <c r="BF25" t="s">
        <v>149</v>
      </c>
      <c r="BG25" t="s">
        <v>149</v>
      </c>
      <c r="BH25" t="s">
        <v>149</v>
      </c>
      <c r="BI25" t="s">
        <v>149</v>
      </c>
      <c r="BJ25" t="s">
        <v>149</v>
      </c>
      <c r="BK25" t="s">
        <v>149</v>
      </c>
      <c r="BL25" t="s">
        <v>149</v>
      </c>
      <c r="BM25" t="s">
        <v>149</v>
      </c>
      <c r="BN25" t="s">
        <v>149</v>
      </c>
      <c r="BO25" t="s">
        <v>149</v>
      </c>
      <c r="BP25" t="s">
        <v>149</v>
      </c>
      <c r="BQ25" t="s">
        <v>149</v>
      </c>
      <c r="BR25" t="s">
        <v>149</v>
      </c>
      <c r="BS25" t="s">
        <v>149</v>
      </c>
      <c r="BT25" t="s">
        <v>149</v>
      </c>
      <c r="BU25" t="s">
        <v>149</v>
      </c>
      <c r="BV25" t="s">
        <v>149</v>
      </c>
      <c r="BW25" t="s">
        <v>149</v>
      </c>
      <c r="BX25" t="s">
        <v>149</v>
      </c>
      <c r="BY25" t="s">
        <v>149</v>
      </c>
      <c r="BZ25" t="s">
        <v>149</v>
      </c>
      <c r="CA25" t="s">
        <v>149</v>
      </c>
      <c r="CB25" t="s">
        <v>149</v>
      </c>
      <c r="CC25" t="s">
        <v>149</v>
      </c>
      <c r="CD25" t="s">
        <v>149</v>
      </c>
      <c r="CE25" t="s">
        <v>149</v>
      </c>
      <c r="CF25" t="s">
        <v>149</v>
      </c>
      <c r="CG25" t="s">
        <v>149</v>
      </c>
      <c r="CH25" t="s">
        <v>149</v>
      </c>
      <c r="CI25" t="s">
        <v>149</v>
      </c>
      <c r="CJ25" t="s">
        <v>149</v>
      </c>
      <c r="CK25" t="s">
        <v>149</v>
      </c>
      <c r="CL25" t="s">
        <v>149</v>
      </c>
      <c r="CM25" t="s">
        <v>149</v>
      </c>
      <c r="CN25" t="s">
        <v>149</v>
      </c>
      <c r="CO25" t="s">
        <v>149</v>
      </c>
      <c r="CP25" t="s">
        <v>149</v>
      </c>
      <c r="CQ25" t="s">
        <v>149</v>
      </c>
      <c r="CR25" t="s">
        <v>149</v>
      </c>
      <c r="CS25" t="s">
        <v>149</v>
      </c>
      <c r="CT25" t="s">
        <v>149</v>
      </c>
      <c r="CU25" t="s">
        <v>149</v>
      </c>
      <c r="CV25" t="s">
        <v>149</v>
      </c>
      <c r="CW25" t="s">
        <v>149</v>
      </c>
      <c r="CX25" t="s">
        <v>149</v>
      </c>
      <c r="CY25" t="s">
        <v>149</v>
      </c>
      <c r="CZ25" t="s">
        <v>149</v>
      </c>
      <c r="DA25" t="s">
        <v>149</v>
      </c>
      <c r="DC25" t="s">
        <v>149</v>
      </c>
    </row>
    <row r="26" spans="1:107" x14ac:dyDescent="0.25">
      <c r="A26" t="s">
        <v>149</v>
      </c>
      <c r="B26" t="s">
        <v>149</v>
      </c>
      <c r="C26" t="s">
        <v>149</v>
      </c>
      <c r="D26" t="s">
        <v>149</v>
      </c>
      <c r="E26" t="s">
        <v>149</v>
      </c>
      <c r="F26" t="s">
        <v>149</v>
      </c>
      <c r="G26" t="s">
        <v>149</v>
      </c>
      <c r="H26" t="s">
        <v>149</v>
      </c>
      <c r="I26" t="s">
        <v>149</v>
      </c>
      <c r="J26" t="s">
        <v>149</v>
      </c>
      <c r="K26" t="s">
        <v>149</v>
      </c>
      <c r="L26" t="s">
        <v>149</v>
      </c>
      <c r="M26" t="s">
        <v>149</v>
      </c>
      <c r="N26" t="s">
        <v>149</v>
      </c>
      <c r="O26" t="s">
        <v>149</v>
      </c>
      <c r="P26" t="s">
        <v>149</v>
      </c>
      <c r="Q26" t="s">
        <v>149</v>
      </c>
      <c r="R26" t="s">
        <v>149</v>
      </c>
      <c r="S26" t="s">
        <v>149</v>
      </c>
      <c r="T26" t="s">
        <v>149</v>
      </c>
      <c r="U26" t="s">
        <v>149</v>
      </c>
      <c r="V26" t="s">
        <v>149</v>
      </c>
      <c r="W26" t="s">
        <v>149</v>
      </c>
      <c r="X26" t="s">
        <v>149</v>
      </c>
      <c r="Y26" t="s">
        <v>149</v>
      </c>
      <c r="Z26" t="s">
        <v>149</v>
      </c>
      <c r="AA26" t="s">
        <v>149</v>
      </c>
      <c r="AB26" t="s">
        <v>149</v>
      </c>
      <c r="AC26" t="s">
        <v>149</v>
      </c>
      <c r="AD26" t="s">
        <v>149</v>
      </c>
      <c r="AE26" t="s">
        <v>149</v>
      </c>
      <c r="AF26" t="s">
        <v>149</v>
      </c>
      <c r="AG26" t="s">
        <v>149</v>
      </c>
      <c r="AH26" t="s">
        <v>149</v>
      </c>
      <c r="AI26" t="s">
        <v>149</v>
      </c>
      <c r="AJ26" t="s">
        <v>149</v>
      </c>
      <c r="AK26" t="s">
        <v>149</v>
      </c>
      <c r="AL26" t="s">
        <v>149</v>
      </c>
      <c r="AM26" t="s">
        <v>149</v>
      </c>
      <c r="AN26" t="s">
        <v>149</v>
      </c>
      <c r="AO26" t="s">
        <v>149</v>
      </c>
      <c r="AP26" t="s">
        <v>149</v>
      </c>
      <c r="AQ26" t="s">
        <v>149</v>
      </c>
      <c r="AR26" t="s">
        <v>149</v>
      </c>
      <c r="AS26" t="s">
        <v>149</v>
      </c>
      <c r="AT26" t="s">
        <v>149</v>
      </c>
      <c r="AU26" t="s">
        <v>149</v>
      </c>
      <c r="AV26" t="s">
        <v>149</v>
      </c>
      <c r="AW26" t="s">
        <v>149</v>
      </c>
      <c r="AX26" t="s">
        <v>149</v>
      </c>
      <c r="AY26" t="s">
        <v>149</v>
      </c>
      <c r="AZ26" t="s">
        <v>149</v>
      </c>
      <c r="BA26" t="s">
        <v>149</v>
      </c>
      <c r="BB26" t="s">
        <v>149</v>
      </c>
      <c r="BC26" t="s">
        <v>149</v>
      </c>
      <c r="BD26" t="s">
        <v>149</v>
      </c>
      <c r="BE26" t="s">
        <v>149</v>
      </c>
      <c r="BF26" t="s">
        <v>149</v>
      </c>
      <c r="BG26" t="s">
        <v>149</v>
      </c>
      <c r="BH26" t="s">
        <v>149</v>
      </c>
      <c r="BI26" t="s">
        <v>149</v>
      </c>
      <c r="BJ26" t="s">
        <v>149</v>
      </c>
      <c r="BK26" t="s">
        <v>149</v>
      </c>
      <c r="BL26" t="s">
        <v>149</v>
      </c>
      <c r="BM26" t="s">
        <v>149</v>
      </c>
      <c r="BN26" t="s">
        <v>149</v>
      </c>
      <c r="BO26" t="s">
        <v>149</v>
      </c>
      <c r="BP26" t="s">
        <v>149</v>
      </c>
      <c r="BQ26" t="s">
        <v>149</v>
      </c>
      <c r="BR26" t="s">
        <v>149</v>
      </c>
      <c r="BS26" t="s">
        <v>149</v>
      </c>
      <c r="BT26" t="s">
        <v>149</v>
      </c>
      <c r="BU26" t="s">
        <v>149</v>
      </c>
      <c r="BV26" t="s">
        <v>149</v>
      </c>
      <c r="BW26" t="s">
        <v>149</v>
      </c>
      <c r="BX26" t="s">
        <v>149</v>
      </c>
      <c r="BY26" t="s">
        <v>149</v>
      </c>
      <c r="BZ26" t="s">
        <v>149</v>
      </c>
      <c r="CA26" t="s">
        <v>149</v>
      </c>
      <c r="CB26" t="s">
        <v>149</v>
      </c>
      <c r="CC26" t="s">
        <v>149</v>
      </c>
      <c r="CD26" t="s">
        <v>149</v>
      </c>
      <c r="CE26" t="s">
        <v>149</v>
      </c>
      <c r="CF26" t="s">
        <v>149</v>
      </c>
      <c r="CG26" t="s">
        <v>149</v>
      </c>
      <c r="CH26" t="s">
        <v>149</v>
      </c>
      <c r="CI26" t="s">
        <v>149</v>
      </c>
      <c r="CJ26" t="s">
        <v>149</v>
      </c>
      <c r="CK26" t="s">
        <v>149</v>
      </c>
      <c r="CL26" t="s">
        <v>149</v>
      </c>
      <c r="CM26" t="s">
        <v>149</v>
      </c>
      <c r="CN26" t="s">
        <v>149</v>
      </c>
      <c r="CO26" t="s">
        <v>149</v>
      </c>
      <c r="CP26" t="s">
        <v>149</v>
      </c>
      <c r="CQ26" t="s">
        <v>149</v>
      </c>
      <c r="CR26" t="s">
        <v>149</v>
      </c>
      <c r="CS26" t="s">
        <v>149</v>
      </c>
      <c r="CT26" t="s">
        <v>149</v>
      </c>
      <c r="CU26" t="s">
        <v>149</v>
      </c>
      <c r="CV26" t="s">
        <v>149</v>
      </c>
      <c r="CW26" t="s">
        <v>149</v>
      </c>
      <c r="CX26" t="s">
        <v>149</v>
      </c>
      <c r="CY26" t="s">
        <v>149</v>
      </c>
      <c r="CZ26" t="s">
        <v>149</v>
      </c>
      <c r="DA26" t="s">
        <v>149</v>
      </c>
      <c r="DC26" t="s">
        <v>149</v>
      </c>
    </row>
    <row r="27" spans="1:107" x14ac:dyDescent="0.25">
      <c r="A27" t="s">
        <v>149</v>
      </c>
      <c r="B27" t="s">
        <v>149</v>
      </c>
      <c r="C27" t="s">
        <v>149</v>
      </c>
      <c r="D27" t="s">
        <v>149</v>
      </c>
      <c r="E27" t="s">
        <v>149</v>
      </c>
      <c r="F27" t="s">
        <v>149</v>
      </c>
      <c r="G27" t="s">
        <v>149</v>
      </c>
      <c r="H27" t="s">
        <v>149</v>
      </c>
      <c r="I27" t="s">
        <v>149</v>
      </c>
      <c r="J27" t="s">
        <v>149</v>
      </c>
      <c r="K27" t="s">
        <v>149</v>
      </c>
      <c r="L27" t="s">
        <v>149</v>
      </c>
      <c r="M27" t="s">
        <v>149</v>
      </c>
      <c r="N27" t="s">
        <v>149</v>
      </c>
      <c r="O27" t="s">
        <v>149</v>
      </c>
      <c r="P27" t="s">
        <v>149</v>
      </c>
      <c r="Q27" t="s">
        <v>149</v>
      </c>
      <c r="R27" t="s">
        <v>149</v>
      </c>
      <c r="S27" t="s">
        <v>149</v>
      </c>
      <c r="T27" t="s">
        <v>149</v>
      </c>
      <c r="U27" t="s">
        <v>149</v>
      </c>
      <c r="V27" t="s">
        <v>149</v>
      </c>
      <c r="W27" t="s">
        <v>149</v>
      </c>
      <c r="X27" t="s">
        <v>149</v>
      </c>
      <c r="Y27" t="s">
        <v>149</v>
      </c>
      <c r="Z27" t="s">
        <v>149</v>
      </c>
      <c r="AA27" t="s">
        <v>149</v>
      </c>
      <c r="AB27" t="s">
        <v>149</v>
      </c>
      <c r="AC27" t="s">
        <v>149</v>
      </c>
      <c r="AD27" t="s">
        <v>149</v>
      </c>
      <c r="AE27" t="s">
        <v>149</v>
      </c>
      <c r="AF27" t="s">
        <v>149</v>
      </c>
      <c r="AG27" t="s">
        <v>149</v>
      </c>
      <c r="AH27" t="s">
        <v>149</v>
      </c>
      <c r="AI27" t="s">
        <v>149</v>
      </c>
      <c r="AJ27" t="s">
        <v>149</v>
      </c>
      <c r="AK27" t="s">
        <v>149</v>
      </c>
      <c r="AL27" t="s">
        <v>149</v>
      </c>
      <c r="AM27" t="s">
        <v>149</v>
      </c>
      <c r="AN27" t="s">
        <v>149</v>
      </c>
      <c r="AO27" t="s">
        <v>149</v>
      </c>
      <c r="AP27" t="s">
        <v>149</v>
      </c>
      <c r="AQ27" t="s">
        <v>149</v>
      </c>
      <c r="AR27" t="s">
        <v>149</v>
      </c>
      <c r="AS27" t="s">
        <v>149</v>
      </c>
      <c r="AT27" t="s">
        <v>149</v>
      </c>
      <c r="AU27" t="s">
        <v>149</v>
      </c>
      <c r="AV27" t="s">
        <v>149</v>
      </c>
      <c r="AW27" t="s">
        <v>149</v>
      </c>
      <c r="AX27" t="s">
        <v>149</v>
      </c>
      <c r="AY27" t="s">
        <v>149</v>
      </c>
      <c r="AZ27" t="s">
        <v>149</v>
      </c>
      <c r="BA27" t="s">
        <v>149</v>
      </c>
      <c r="BB27" t="s">
        <v>149</v>
      </c>
      <c r="BC27" t="s">
        <v>149</v>
      </c>
      <c r="BD27" t="s">
        <v>149</v>
      </c>
      <c r="BE27" t="s">
        <v>149</v>
      </c>
      <c r="BF27" t="s">
        <v>149</v>
      </c>
      <c r="BG27" t="s">
        <v>149</v>
      </c>
      <c r="BH27" t="s">
        <v>149</v>
      </c>
      <c r="BI27" t="s">
        <v>149</v>
      </c>
      <c r="BJ27" t="s">
        <v>149</v>
      </c>
      <c r="BK27" t="s">
        <v>149</v>
      </c>
      <c r="BL27" t="s">
        <v>149</v>
      </c>
      <c r="BM27" t="s">
        <v>149</v>
      </c>
      <c r="BN27" t="s">
        <v>149</v>
      </c>
      <c r="BO27" t="s">
        <v>149</v>
      </c>
      <c r="BP27" t="s">
        <v>149</v>
      </c>
      <c r="BQ27" t="s">
        <v>149</v>
      </c>
      <c r="BR27" t="s">
        <v>149</v>
      </c>
      <c r="BS27" t="s">
        <v>149</v>
      </c>
      <c r="BT27" t="s">
        <v>149</v>
      </c>
      <c r="BU27" t="s">
        <v>149</v>
      </c>
      <c r="BV27" t="s">
        <v>149</v>
      </c>
      <c r="BW27" t="s">
        <v>149</v>
      </c>
      <c r="BX27" t="s">
        <v>149</v>
      </c>
      <c r="BY27" t="s">
        <v>149</v>
      </c>
      <c r="BZ27" t="s">
        <v>149</v>
      </c>
      <c r="CA27" t="s">
        <v>149</v>
      </c>
      <c r="CB27" t="s">
        <v>149</v>
      </c>
      <c r="CC27" t="s">
        <v>149</v>
      </c>
      <c r="CD27" t="s">
        <v>149</v>
      </c>
      <c r="CE27" t="s">
        <v>149</v>
      </c>
      <c r="CF27" t="s">
        <v>149</v>
      </c>
      <c r="CG27" t="s">
        <v>149</v>
      </c>
      <c r="CH27" t="s">
        <v>149</v>
      </c>
      <c r="CI27" t="s">
        <v>149</v>
      </c>
      <c r="CJ27" t="s">
        <v>149</v>
      </c>
      <c r="CK27" t="s">
        <v>149</v>
      </c>
      <c r="CL27" t="s">
        <v>149</v>
      </c>
      <c r="CM27" t="s">
        <v>149</v>
      </c>
      <c r="CN27" t="s">
        <v>149</v>
      </c>
      <c r="CO27" t="s">
        <v>149</v>
      </c>
      <c r="CP27" t="s">
        <v>149</v>
      </c>
      <c r="CQ27" t="s">
        <v>149</v>
      </c>
      <c r="CR27" t="s">
        <v>149</v>
      </c>
      <c r="CS27" t="s">
        <v>149</v>
      </c>
      <c r="CT27" t="s">
        <v>149</v>
      </c>
      <c r="CU27" t="s">
        <v>149</v>
      </c>
      <c r="CV27" t="s">
        <v>149</v>
      </c>
      <c r="CW27" t="s">
        <v>149</v>
      </c>
      <c r="CX27" t="s">
        <v>149</v>
      </c>
      <c r="CY27" t="s">
        <v>149</v>
      </c>
      <c r="CZ27" t="s">
        <v>149</v>
      </c>
      <c r="DA27" t="s">
        <v>149</v>
      </c>
      <c r="DC27" t="s">
        <v>149</v>
      </c>
    </row>
    <row r="28" spans="1:107" x14ac:dyDescent="0.25">
      <c r="A28" t="s">
        <v>149</v>
      </c>
      <c r="B28" t="s">
        <v>149</v>
      </c>
      <c r="C28" t="s">
        <v>149</v>
      </c>
      <c r="D28" t="s">
        <v>149</v>
      </c>
      <c r="E28" t="s">
        <v>149</v>
      </c>
      <c r="F28" t="s">
        <v>149</v>
      </c>
      <c r="G28" t="s">
        <v>149</v>
      </c>
      <c r="H28" t="s">
        <v>149</v>
      </c>
      <c r="I28" t="s">
        <v>149</v>
      </c>
      <c r="J28" t="s">
        <v>149</v>
      </c>
      <c r="K28" t="s">
        <v>149</v>
      </c>
      <c r="L28" t="s">
        <v>149</v>
      </c>
      <c r="M28" t="s">
        <v>149</v>
      </c>
      <c r="N28" t="s">
        <v>149</v>
      </c>
      <c r="O28" t="s">
        <v>149</v>
      </c>
      <c r="P28" t="s">
        <v>149</v>
      </c>
      <c r="Q28" t="s">
        <v>149</v>
      </c>
      <c r="R28" t="s">
        <v>149</v>
      </c>
      <c r="S28" t="s">
        <v>149</v>
      </c>
      <c r="T28" t="s">
        <v>149</v>
      </c>
      <c r="U28" t="s">
        <v>149</v>
      </c>
      <c r="V28" t="s">
        <v>149</v>
      </c>
      <c r="W28" t="s">
        <v>149</v>
      </c>
      <c r="X28" t="s">
        <v>149</v>
      </c>
      <c r="Y28" t="s">
        <v>149</v>
      </c>
      <c r="Z28" t="s">
        <v>149</v>
      </c>
      <c r="AA28" t="s">
        <v>149</v>
      </c>
      <c r="AB28" t="s">
        <v>149</v>
      </c>
      <c r="AC28" t="s">
        <v>149</v>
      </c>
      <c r="AD28" t="s">
        <v>149</v>
      </c>
      <c r="AE28" t="s">
        <v>149</v>
      </c>
      <c r="AF28" t="s">
        <v>149</v>
      </c>
      <c r="AG28" t="s">
        <v>149</v>
      </c>
      <c r="AH28" t="s">
        <v>149</v>
      </c>
      <c r="AI28" t="s">
        <v>149</v>
      </c>
      <c r="AJ28" t="s">
        <v>149</v>
      </c>
      <c r="AK28" t="s">
        <v>149</v>
      </c>
      <c r="AL28" t="s">
        <v>149</v>
      </c>
      <c r="AM28" t="s">
        <v>149</v>
      </c>
      <c r="AN28" t="s">
        <v>149</v>
      </c>
      <c r="AO28" t="s">
        <v>149</v>
      </c>
      <c r="AP28" t="s">
        <v>149</v>
      </c>
      <c r="AQ28" t="s">
        <v>149</v>
      </c>
      <c r="AR28" t="s">
        <v>149</v>
      </c>
      <c r="AS28" t="s">
        <v>149</v>
      </c>
      <c r="AT28" t="s">
        <v>149</v>
      </c>
      <c r="AU28" t="s">
        <v>149</v>
      </c>
      <c r="AV28" t="s">
        <v>149</v>
      </c>
      <c r="AW28" t="s">
        <v>149</v>
      </c>
      <c r="AX28" t="s">
        <v>149</v>
      </c>
      <c r="AY28" t="s">
        <v>149</v>
      </c>
      <c r="AZ28" t="s">
        <v>149</v>
      </c>
      <c r="BA28" t="s">
        <v>149</v>
      </c>
      <c r="BB28" t="s">
        <v>149</v>
      </c>
      <c r="BC28" t="s">
        <v>149</v>
      </c>
      <c r="BD28" t="s">
        <v>149</v>
      </c>
      <c r="BE28" t="s">
        <v>149</v>
      </c>
      <c r="BF28" t="s">
        <v>149</v>
      </c>
      <c r="BG28" t="s">
        <v>149</v>
      </c>
      <c r="BH28" t="s">
        <v>149</v>
      </c>
      <c r="BI28" t="s">
        <v>149</v>
      </c>
      <c r="BJ28" t="s">
        <v>149</v>
      </c>
      <c r="BK28" t="s">
        <v>149</v>
      </c>
      <c r="BL28" t="s">
        <v>149</v>
      </c>
      <c r="BM28" t="s">
        <v>149</v>
      </c>
      <c r="BN28" t="s">
        <v>149</v>
      </c>
      <c r="BO28" t="s">
        <v>149</v>
      </c>
      <c r="BP28" t="s">
        <v>149</v>
      </c>
      <c r="BQ28" t="s">
        <v>149</v>
      </c>
      <c r="BR28" t="s">
        <v>149</v>
      </c>
      <c r="BS28" t="s">
        <v>149</v>
      </c>
      <c r="BT28" t="s">
        <v>149</v>
      </c>
      <c r="BU28" t="s">
        <v>149</v>
      </c>
      <c r="BV28" t="s">
        <v>149</v>
      </c>
      <c r="BW28" t="s">
        <v>149</v>
      </c>
      <c r="BX28" t="s">
        <v>149</v>
      </c>
      <c r="BY28" t="s">
        <v>149</v>
      </c>
      <c r="BZ28" t="s">
        <v>149</v>
      </c>
      <c r="CA28" t="s">
        <v>149</v>
      </c>
      <c r="CB28" t="s">
        <v>149</v>
      </c>
      <c r="CC28" t="s">
        <v>149</v>
      </c>
      <c r="CD28" t="s">
        <v>149</v>
      </c>
      <c r="CE28" t="s">
        <v>149</v>
      </c>
      <c r="CF28" t="s">
        <v>149</v>
      </c>
      <c r="CG28" t="s">
        <v>149</v>
      </c>
      <c r="CH28" t="s">
        <v>149</v>
      </c>
      <c r="CI28" t="s">
        <v>149</v>
      </c>
      <c r="CJ28" t="s">
        <v>149</v>
      </c>
      <c r="CK28" t="s">
        <v>149</v>
      </c>
      <c r="CL28" t="s">
        <v>149</v>
      </c>
      <c r="CM28" t="s">
        <v>149</v>
      </c>
      <c r="CN28" t="s">
        <v>149</v>
      </c>
      <c r="CO28" t="s">
        <v>149</v>
      </c>
      <c r="CP28" t="s">
        <v>149</v>
      </c>
      <c r="CQ28" t="s">
        <v>149</v>
      </c>
      <c r="CR28" t="s">
        <v>149</v>
      </c>
      <c r="CS28" t="s">
        <v>149</v>
      </c>
      <c r="CT28" t="s">
        <v>149</v>
      </c>
      <c r="CU28" t="s">
        <v>149</v>
      </c>
      <c r="CV28" t="s">
        <v>149</v>
      </c>
      <c r="CW28" t="s">
        <v>149</v>
      </c>
      <c r="CX28" t="s">
        <v>149</v>
      </c>
      <c r="CY28" t="s">
        <v>149</v>
      </c>
      <c r="CZ28" t="s">
        <v>149</v>
      </c>
      <c r="DA28" t="s">
        <v>149</v>
      </c>
      <c r="DC28" t="s">
        <v>149</v>
      </c>
    </row>
    <row r="29" spans="1:107" x14ac:dyDescent="0.25">
      <c r="A29" t="s">
        <v>149</v>
      </c>
      <c r="B29" t="s">
        <v>149</v>
      </c>
      <c r="C29" t="s">
        <v>149</v>
      </c>
      <c r="D29" t="s">
        <v>149</v>
      </c>
      <c r="E29" t="s">
        <v>149</v>
      </c>
      <c r="F29" t="s">
        <v>149</v>
      </c>
      <c r="G29" t="s">
        <v>149</v>
      </c>
      <c r="H29" t="s">
        <v>149</v>
      </c>
      <c r="I29" t="s">
        <v>149</v>
      </c>
      <c r="J29" t="s">
        <v>149</v>
      </c>
      <c r="K29" t="s">
        <v>149</v>
      </c>
      <c r="L29" t="s">
        <v>149</v>
      </c>
      <c r="M29" t="s">
        <v>149</v>
      </c>
      <c r="N29" t="s">
        <v>149</v>
      </c>
      <c r="O29" t="s">
        <v>149</v>
      </c>
      <c r="P29" t="s">
        <v>149</v>
      </c>
      <c r="Q29" t="s">
        <v>149</v>
      </c>
      <c r="R29" t="s">
        <v>149</v>
      </c>
      <c r="S29" t="s">
        <v>149</v>
      </c>
      <c r="T29" t="s">
        <v>149</v>
      </c>
      <c r="U29" t="s">
        <v>149</v>
      </c>
      <c r="V29" t="s">
        <v>149</v>
      </c>
      <c r="W29" t="s">
        <v>149</v>
      </c>
      <c r="X29" t="s">
        <v>149</v>
      </c>
      <c r="Y29" t="s">
        <v>149</v>
      </c>
      <c r="Z29" t="s">
        <v>149</v>
      </c>
      <c r="AA29" t="s">
        <v>149</v>
      </c>
      <c r="AB29" t="s">
        <v>149</v>
      </c>
      <c r="AC29" t="s">
        <v>149</v>
      </c>
      <c r="AD29" t="s">
        <v>149</v>
      </c>
      <c r="AE29" t="s">
        <v>149</v>
      </c>
      <c r="AF29" t="s">
        <v>149</v>
      </c>
      <c r="AG29" t="s">
        <v>149</v>
      </c>
      <c r="AH29" t="s">
        <v>149</v>
      </c>
      <c r="AI29" t="s">
        <v>149</v>
      </c>
      <c r="AJ29" t="s">
        <v>149</v>
      </c>
      <c r="AK29" t="s">
        <v>149</v>
      </c>
      <c r="AL29" t="s">
        <v>149</v>
      </c>
      <c r="AM29" t="s">
        <v>149</v>
      </c>
      <c r="AN29" t="s">
        <v>149</v>
      </c>
      <c r="AO29" t="s">
        <v>149</v>
      </c>
      <c r="AP29" t="s">
        <v>149</v>
      </c>
      <c r="AQ29" t="s">
        <v>149</v>
      </c>
      <c r="AR29" t="s">
        <v>149</v>
      </c>
      <c r="AS29" t="s">
        <v>149</v>
      </c>
      <c r="AT29" t="s">
        <v>149</v>
      </c>
      <c r="AU29" t="s">
        <v>149</v>
      </c>
      <c r="AV29" t="s">
        <v>149</v>
      </c>
      <c r="AW29" t="s">
        <v>149</v>
      </c>
      <c r="AX29" t="s">
        <v>149</v>
      </c>
      <c r="AY29" t="s">
        <v>149</v>
      </c>
      <c r="AZ29" t="s">
        <v>149</v>
      </c>
      <c r="BA29" t="s">
        <v>149</v>
      </c>
      <c r="BB29" t="s">
        <v>149</v>
      </c>
      <c r="BC29" t="s">
        <v>149</v>
      </c>
      <c r="BD29" t="s">
        <v>149</v>
      </c>
      <c r="BE29" t="s">
        <v>149</v>
      </c>
      <c r="BF29" t="s">
        <v>149</v>
      </c>
      <c r="BG29" t="s">
        <v>149</v>
      </c>
      <c r="BH29" t="s">
        <v>149</v>
      </c>
      <c r="BI29" t="s">
        <v>149</v>
      </c>
      <c r="BJ29" t="s">
        <v>149</v>
      </c>
      <c r="BK29" t="s">
        <v>149</v>
      </c>
      <c r="BL29" t="s">
        <v>149</v>
      </c>
      <c r="BM29" t="s">
        <v>149</v>
      </c>
      <c r="BN29" t="s">
        <v>149</v>
      </c>
      <c r="BO29" t="s">
        <v>149</v>
      </c>
      <c r="BP29" t="s">
        <v>149</v>
      </c>
      <c r="BQ29" t="s">
        <v>149</v>
      </c>
      <c r="BR29" t="s">
        <v>149</v>
      </c>
      <c r="BS29" t="s">
        <v>149</v>
      </c>
      <c r="BT29" t="s">
        <v>149</v>
      </c>
      <c r="BU29" t="s">
        <v>149</v>
      </c>
      <c r="BV29" t="s">
        <v>149</v>
      </c>
      <c r="BW29" t="s">
        <v>149</v>
      </c>
      <c r="BX29" t="s">
        <v>149</v>
      </c>
      <c r="BY29" t="s">
        <v>149</v>
      </c>
      <c r="BZ29" t="s">
        <v>149</v>
      </c>
      <c r="CA29" t="s">
        <v>149</v>
      </c>
      <c r="CB29" t="s">
        <v>149</v>
      </c>
      <c r="CC29" t="s">
        <v>149</v>
      </c>
      <c r="CD29" t="s">
        <v>149</v>
      </c>
      <c r="CE29" t="s">
        <v>149</v>
      </c>
      <c r="CF29" t="s">
        <v>149</v>
      </c>
      <c r="CG29" t="s">
        <v>149</v>
      </c>
      <c r="CH29" t="s">
        <v>149</v>
      </c>
      <c r="CI29" t="s">
        <v>149</v>
      </c>
      <c r="CJ29" t="s">
        <v>149</v>
      </c>
      <c r="CK29" t="s">
        <v>149</v>
      </c>
      <c r="CL29" t="s">
        <v>149</v>
      </c>
      <c r="CM29" t="s">
        <v>149</v>
      </c>
      <c r="CN29" t="s">
        <v>149</v>
      </c>
      <c r="CO29" t="s">
        <v>149</v>
      </c>
      <c r="CP29" t="s">
        <v>149</v>
      </c>
      <c r="CQ29" t="s">
        <v>149</v>
      </c>
      <c r="CR29" t="s">
        <v>149</v>
      </c>
      <c r="CS29" t="s">
        <v>149</v>
      </c>
      <c r="CT29" t="s">
        <v>149</v>
      </c>
      <c r="CU29" t="s">
        <v>149</v>
      </c>
      <c r="CV29" t="s">
        <v>149</v>
      </c>
      <c r="CW29" t="s">
        <v>149</v>
      </c>
      <c r="CX29" t="s">
        <v>149</v>
      </c>
      <c r="CY29" t="s">
        <v>149</v>
      </c>
      <c r="CZ29" t="s">
        <v>149</v>
      </c>
      <c r="DA29" t="s">
        <v>149</v>
      </c>
      <c r="DC29" t="s">
        <v>149</v>
      </c>
    </row>
    <row r="30" spans="1:107" x14ac:dyDescent="0.25">
      <c r="A30" t="s">
        <v>149</v>
      </c>
      <c r="B30" t="s">
        <v>149</v>
      </c>
      <c r="C30" t="s">
        <v>149</v>
      </c>
      <c r="D30" t="s">
        <v>149</v>
      </c>
      <c r="E30" t="s">
        <v>149</v>
      </c>
      <c r="F30" t="s">
        <v>149</v>
      </c>
      <c r="G30" t="s">
        <v>149</v>
      </c>
      <c r="H30" t="s">
        <v>149</v>
      </c>
      <c r="I30" t="s">
        <v>149</v>
      </c>
      <c r="J30" t="s">
        <v>149</v>
      </c>
      <c r="K30" t="s">
        <v>149</v>
      </c>
      <c r="L30" t="s">
        <v>149</v>
      </c>
      <c r="M30" t="s">
        <v>149</v>
      </c>
      <c r="N30" t="s">
        <v>149</v>
      </c>
      <c r="O30" t="s">
        <v>149</v>
      </c>
      <c r="P30" t="s">
        <v>149</v>
      </c>
      <c r="Q30" t="s">
        <v>149</v>
      </c>
      <c r="R30" t="s">
        <v>149</v>
      </c>
      <c r="S30" t="s">
        <v>149</v>
      </c>
      <c r="T30" t="s">
        <v>149</v>
      </c>
      <c r="U30" t="s">
        <v>149</v>
      </c>
      <c r="V30" t="s">
        <v>149</v>
      </c>
      <c r="W30" t="s">
        <v>149</v>
      </c>
      <c r="X30" t="s">
        <v>149</v>
      </c>
      <c r="Y30" t="s">
        <v>149</v>
      </c>
      <c r="Z30" t="s">
        <v>149</v>
      </c>
      <c r="AA30" t="s">
        <v>149</v>
      </c>
      <c r="AB30" t="s">
        <v>149</v>
      </c>
      <c r="AC30" t="s">
        <v>149</v>
      </c>
      <c r="AD30" t="s">
        <v>149</v>
      </c>
      <c r="AE30" t="s">
        <v>149</v>
      </c>
      <c r="AF30" t="s">
        <v>149</v>
      </c>
      <c r="AG30" t="s">
        <v>149</v>
      </c>
      <c r="AH30" t="s">
        <v>149</v>
      </c>
      <c r="AI30" t="s">
        <v>149</v>
      </c>
      <c r="AJ30" t="s">
        <v>149</v>
      </c>
      <c r="AK30" t="s">
        <v>149</v>
      </c>
      <c r="AL30" t="s">
        <v>149</v>
      </c>
      <c r="AM30" t="s">
        <v>149</v>
      </c>
      <c r="AN30" t="s">
        <v>149</v>
      </c>
      <c r="AO30" t="s">
        <v>149</v>
      </c>
      <c r="AP30" t="s">
        <v>149</v>
      </c>
      <c r="AQ30" t="s">
        <v>149</v>
      </c>
      <c r="AR30" t="s">
        <v>149</v>
      </c>
      <c r="AS30" t="s">
        <v>149</v>
      </c>
      <c r="AT30" t="s">
        <v>149</v>
      </c>
      <c r="AU30" t="s">
        <v>149</v>
      </c>
      <c r="AV30" t="s">
        <v>149</v>
      </c>
      <c r="AW30" t="s">
        <v>149</v>
      </c>
      <c r="AX30" t="s">
        <v>149</v>
      </c>
      <c r="AY30" t="s">
        <v>149</v>
      </c>
      <c r="AZ30" t="s">
        <v>149</v>
      </c>
      <c r="BA30" t="s">
        <v>149</v>
      </c>
      <c r="BB30" t="s">
        <v>149</v>
      </c>
      <c r="BC30" t="s">
        <v>149</v>
      </c>
      <c r="BD30" t="s">
        <v>149</v>
      </c>
      <c r="BE30" t="s">
        <v>149</v>
      </c>
      <c r="BF30" t="s">
        <v>149</v>
      </c>
      <c r="BG30" t="s">
        <v>149</v>
      </c>
      <c r="BH30" t="s">
        <v>149</v>
      </c>
      <c r="BI30" t="s">
        <v>149</v>
      </c>
      <c r="BJ30" t="s">
        <v>149</v>
      </c>
      <c r="BK30" t="s">
        <v>149</v>
      </c>
      <c r="BL30" t="s">
        <v>149</v>
      </c>
      <c r="BM30" t="s">
        <v>149</v>
      </c>
      <c r="BN30" t="s">
        <v>149</v>
      </c>
      <c r="BO30" t="s">
        <v>149</v>
      </c>
      <c r="BP30" t="s">
        <v>149</v>
      </c>
      <c r="BQ30" t="s">
        <v>149</v>
      </c>
      <c r="BR30" t="s">
        <v>149</v>
      </c>
      <c r="BS30" t="s">
        <v>149</v>
      </c>
      <c r="BT30" t="s">
        <v>149</v>
      </c>
      <c r="BU30" t="s">
        <v>149</v>
      </c>
      <c r="BV30" t="s">
        <v>149</v>
      </c>
      <c r="BW30" t="s">
        <v>149</v>
      </c>
      <c r="BX30" t="s">
        <v>149</v>
      </c>
      <c r="BY30" t="s">
        <v>149</v>
      </c>
      <c r="BZ30" t="s">
        <v>149</v>
      </c>
      <c r="CA30" t="s">
        <v>149</v>
      </c>
      <c r="CB30" t="s">
        <v>149</v>
      </c>
      <c r="CC30" t="s">
        <v>149</v>
      </c>
      <c r="CD30" t="s">
        <v>149</v>
      </c>
      <c r="CE30" t="s">
        <v>149</v>
      </c>
      <c r="CF30" t="s">
        <v>149</v>
      </c>
      <c r="CG30" t="s">
        <v>149</v>
      </c>
      <c r="CH30" t="s">
        <v>149</v>
      </c>
      <c r="CI30" t="s">
        <v>149</v>
      </c>
      <c r="CJ30" t="s">
        <v>149</v>
      </c>
      <c r="CK30" t="s">
        <v>149</v>
      </c>
      <c r="CL30" t="s">
        <v>149</v>
      </c>
      <c r="CM30" t="s">
        <v>149</v>
      </c>
      <c r="CN30" t="s">
        <v>149</v>
      </c>
      <c r="CO30" t="s">
        <v>149</v>
      </c>
      <c r="CP30" t="s">
        <v>149</v>
      </c>
      <c r="CQ30" t="s">
        <v>149</v>
      </c>
      <c r="CR30" t="s">
        <v>149</v>
      </c>
      <c r="CS30" t="s">
        <v>149</v>
      </c>
      <c r="CT30" t="s">
        <v>149</v>
      </c>
      <c r="CU30" t="s">
        <v>149</v>
      </c>
      <c r="CV30" t="s">
        <v>149</v>
      </c>
      <c r="CW30" t="s">
        <v>149</v>
      </c>
      <c r="CX30" t="s">
        <v>149</v>
      </c>
      <c r="CY30" t="s">
        <v>149</v>
      </c>
      <c r="CZ30" t="s">
        <v>149</v>
      </c>
      <c r="DA30" t="s">
        <v>149</v>
      </c>
      <c r="DC30" t="s">
        <v>149</v>
      </c>
    </row>
    <row r="31" spans="1:107" x14ac:dyDescent="0.25">
      <c r="A31" t="s">
        <v>149</v>
      </c>
      <c r="B31" t="s">
        <v>149</v>
      </c>
      <c r="C31" t="s">
        <v>149</v>
      </c>
      <c r="D31" t="s">
        <v>149</v>
      </c>
      <c r="E31" t="s">
        <v>149</v>
      </c>
      <c r="F31" t="s">
        <v>149</v>
      </c>
      <c r="G31" t="s">
        <v>149</v>
      </c>
      <c r="H31" t="s">
        <v>149</v>
      </c>
      <c r="I31" t="s">
        <v>149</v>
      </c>
      <c r="J31" t="s">
        <v>149</v>
      </c>
      <c r="K31" t="s">
        <v>149</v>
      </c>
      <c r="L31" t="s">
        <v>149</v>
      </c>
      <c r="M31" t="s">
        <v>149</v>
      </c>
      <c r="N31" t="s">
        <v>149</v>
      </c>
      <c r="O31" t="s">
        <v>149</v>
      </c>
      <c r="P31" t="s">
        <v>149</v>
      </c>
      <c r="Q31" t="s">
        <v>149</v>
      </c>
      <c r="R31" t="s">
        <v>149</v>
      </c>
      <c r="S31" t="s">
        <v>149</v>
      </c>
      <c r="T31" t="s">
        <v>149</v>
      </c>
      <c r="U31" t="s">
        <v>149</v>
      </c>
      <c r="V31" t="s">
        <v>149</v>
      </c>
      <c r="W31" t="s">
        <v>149</v>
      </c>
      <c r="X31" t="s">
        <v>149</v>
      </c>
      <c r="Y31" t="s">
        <v>149</v>
      </c>
      <c r="Z31" t="s">
        <v>149</v>
      </c>
      <c r="AA31" t="s">
        <v>149</v>
      </c>
      <c r="AB31" t="s">
        <v>149</v>
      </c>
      <c r="AC31" t="s">
        <v>149</v>
      </c>
      <c r="AD31" t="s">
        <v>149</v>
      </c>
      <c r="AE31" t="s">
        <v>149</v>
      </c>
      <c r="AF31" t="s">
        <v>149</v>
      </c>
      <c r="AG31" t="s">
        <v>149</v>
      </c>
      <c r="AH31" t="s">
        <v>149</v>
      </c>
      <c r="AI31" t="s">
        <v>149</v>
      </c>
      <c r="AJ31" t="s">
        <v>149</v>
      </c>
      <c r="AK31" t="s">
        <v>149</v>
      </c>
      <c r="AL31" t="s">
        <v>149</v>
      </c>
      <c r="AM31" t="s">
        <v>149</v>
      </c>
      <c r="AN31" t="s">
        <v>149</v>
      </c>
      <c r="AO31" t="s">
        <v>149</v>
      </c>
      <c r="AP31" t="s">
        <v>149</v>
      </c>
      <c r="AQ31" t="s">
        <v>149</v>
      </c>
      <c r="AR31" t="s">
        <v>149</v>
      </c>
      <c r="AS31" t="s">
        <v>149</v>
      </c>
      <c r="AT31" t="s">
        <v>149</v>
      </c>
      <c r="AU31" t="s">
        <v>149</v>
      </c>
      <c r="AV31" t="s">
        <v>149</v>
      </c>
      <c r="AW31" t="s">
        <v>149</v>
      </c>
      <c r="AX31" t="s">
        <v>149</v>
      </c>
      <c r="AY31" t="s">
        <v>149</v>
      </c>
      <c r="AZ31" t="s">
        <v>149</v>
      </c>
      <c r="BA31" t="s">
        <v>149</v>
      </c>
      <c r="BB31" t="s">
        <v>149</v>
      </c>
      <c r="BC31" t="s">
        <v>149</v>
      </c>
      <c r="BD31" t="s">
        <v>149</v>
      </c>
      <c r="BE31" t="s">
        <v>149</v>
      </c>
      <c r="BF31" t="s">
        <v>149</v>
      </c>
      <c r="BG31" t="s">
        <v>149</v>
      </c>
      <c r="BH31" t="s">
        <v>149</v>
      </c>
      <c r="BI31" t="s">
        <v>149</v>
      </c>
      <c r="BJ31" t="s">
        <v>149</v>
      </c>
      <c r="BK31" t="s">
        <v>149</v>
      </c>
      <c r="BL31" t="s">
        <v>149</v>
      </c>
      <c r="BM31" t="s">
        <v>149</v>
      </c>
      <c r="BN31" t="s">
        <v>149</v>
      </c>
      <c r="BO31" t="s">
        <v>149</v>
      </c>
      <c r="BP31" t="s">
        <v>149</v>
      </c>
      <c r="BQ31" t="s">
        <v>149</v>
      </c>
      <c r="BR31" t="s">
        <v>149</v>
      </c>
      <c r="BS31" t="s">
        <v>149</v>
      </c>
      <c r="BT31" t="s">
        <v>149</v>
      </c>
      <c r="BU31" t="s">
        <v>149</v>
      </c>
      <c r="BV31" t="s">
        <v>149</v>
      </c>
      <c r="BW31" t="s">
        <v>149</v>
      </c>
      <c r="BX31" t="s">
        <v>149</v>
      </c>
      <c r="BY31" t="s">
        <v>149</v>
      </c>
      <c r="BZ31" t="s">
        <v>149</v>
      </c>
      <c r="CA31" t="s">
        <v>149</v>
      </c>
      <c r="CB31" t="s">
        <v>149</v>
      </c>
      <c r="CC31" t="s">
        <v>149</v>
      </c>
      <c r="CD31" t="s">
        <v>149</v>
      </c>
      <c r="CE31" t="s">
        <v>149</v>
      </c>
      <c r="CF31" t="s">
        <v>149</v>
      </c>
      <c r="CG31" t="s">
        <v>149</v>
      </c>
      <c r="CH31" t="s">
        <v>149</v>
      </c>
      <c r="CI31" t="s">
        <v>149</v>
      </c>
      <c r="CJ31" t="s">
        <v>149</v>
      </c>
      <c r="CK31" t="s">
        <v>149</v>
      </c>
      <c r="CL31" t="s">
        <v>149</v>
      </c>
      <c r="CM31" t="s">
        <v>149</v>
      </c>
      <c r="CN31" t="s">
        <v>149</v>
      </c>
      <c r="CO31" t="s">
        <v>149</v>
      </c>
      <c r="CP31" t="s">
        <v>149</v>
      </c>
      <c r="CQ31" t="s">
        <v>149</v>
      </c>
      <c r="CR31" t="s">
        <v>149</v>
      </c>
      <c r="CS31" t="s">
        <v>149</v>
      </c>
      <c r="CT31" t="s">
        <v>149</v>
      </c>
      <c r="CU31" t="s">
        <v>149</v>
      </c>
      <c r="CV31" t="s">
        <v>149</v>
      </c>
      <c r="CW31" t="s">
        <v>149</v>
      </c>
      <c r="CX31" t="s">
        <v>149</v>
      </c>
      <c r="CY31" t="s">
        <v>149</v>
      </c>
      <c r="CZ31" t="s">
        <v>149</v>
      </c>
      <c r="DA31" t="s">
        <v>149</v>
      </c>
      <c r="DC31" t="s">
        <v>149</v>
      </c>
    </row>
    <row r="32" spans="1:107" x14ac:dyDescent="0.25">
      <c r="A32" t="s">
        <v>149</v>
      </c>
      <c r="B32" t="s">
        <v>149</v>
      </c>
      <c r="C32" t="s">
        <v>149</v>
      </c>
      <c r="D32" t="s">
        <v>149</v>
      </c>
      <c r="E32" t="s">
        <v>149</v>
      </c>
      <c r="F32" t="s">
        <v>149</v>
      </c>
      <c r="G32" t="s">
        <v>149</v>
      </c>
      <c r="H32" t="s">
        <v>149</v>
      </c>
      <c r="I32" t="s">
        <v>149</v>
      </c>
      <c r="J32" t="s">
        <v>149</v>
      </c>
      <c r="K32" t="s">
        <v>149</v>
      </c>
      <c r="L32" t="s">
        <v>149</v>
      </c>
      <c r="M32" t="s">
        <v>149</v>
      </c>
      <c r="N32" t="s">
        <v>149</v>
      </c>
      <c r="O32" t="s">
        <v>149</v>
      </c>
      <c r="P32" t="s">
        <v>149</v>
      </c>
      <c r="Q32" t="s">
        <v>149</v>
      </c>
      <c r="R32" t="s">
        <v>149</v>
      </c>
      <c r="S32" t="s">
        <v>149</v>
      </c>
      <c r="T32" t="s">
        <v>149</v>
      </c>
      <c r="U32" t="s">
        <v>149</v>
      </c>
      <c r="V32" t="s">
        <v>149</v>
      </c>
      <c r="W32" t="s">
        <v>149</v>
      </c>
      <c r="X32" t="s">
        <v>149</v>
      </c>
      <c r="Y32" t="s">
        <v>149</v>
      </c>
      <c r="Z32" t="s">
        <v>149</v>
      </c>
      <c r="AA32" t="s">
        <v>149</v>
      </c>
      <c r="AB32" t="s">
        <v>149</v>
      </c>
      <c r="AC32" t="s">
        <v>149</v>
      </c>
      <c r="AD32" t="s">
        <v>149</v>
      </c>
      <c r="AE32" t="s">
        <v>149</v>
      </c>
      <c r="AF32" t="s">
        <v>149</v>
      </c>
      <c r="AG32" t="s">
        <v>149</v>
      </c>
      <c r="AH32" t="s">
        <v>149</v>
      </c>
      <c r="AI32" t="s">
        <v>149</v>
      </c>
      <c r="AJ32" t="s">
        <v>149</v>
      </c>
      <c r="AK32" t="s">
        <v>149</v>
      </c>
      <c r="AL32" t="s">
        <v>149</v>
      </c>
      <c r="AM32" t="s">
        <v>149</v>
      </c>
      <c r="AN32" t="s">
        <v>149</v>
      </c>
      <c r="AO32" t="s">
        <v>149</v>
      </c>
      <c r="AP32" t="s">
        <v>149</v>
      </c>
      <c r="AQ32" t="s">
        <v>149</v>
      </c>
      <c r="AR32" t="s">
        <v>149</v>
      </c>
      <c r="AS32" t="s">
        <v>149</v>
      </c>
      <c r="AT32" t="s">
        <v>149</v>
      </c>
      <c r="AU32" t="s">
        <v>149</v>
      </c>
      <c r="AV32" t="s">
        <v>149</v>
      </c>
      <c r="AW32" t="s">
        <v>149</v>
      </c>
      <c r="AX32" t="s">
        <v>149</v>
      </c>
      <c r="AY32" t="s">
        <v>149</v>
      </c>
      <c r="AZ32" t="s">
        <v>149</v>
      </c>
      <c r="BA32" t="s">
        <v>149</v>
      </c>
      <c r="BB32" t="s">
        <v>149</v>
      </c>
      <c r="BC32" t="s">
        <v>149</v>
      </c>
      <c r="BD32" t="s">
        <v>149</v>
      </c>
      <c r="BE32" t="s">
        <v>149</v>
      </c>
      <c r="BF32" t="s">
        <v>149</v>
      </c>
      <c r="BG32" t="s">
        <v>149</v>
      </c>
      <c r="BH32" t="s">
        <v>149</v>
      </c>
      <c r="BI32" t="s">
        <v>149</v>
      </c>
      <c r="BJ32" t="s">
        <v>149</v>
      </c>
      <c r="BK32" t="s">
        <v>149</v>
      </c>
      <c r="BL32" t="s">
        <v>149</v>
      </c>
      <c r="BM32" t="s">
        <v>149</v>
      </c>
      <c r="BN32" t="s">
        <v>149</v>
      </c>
      <c r="BO32" t="s">
        <v>149</v>
      </c>
      <c r="BP32" t="s">
        <v>149</v>
      </c>
      <c r="BQ32" t="s">
        <v>149</v>
      </c>
      <c r="BR32" t="s">
        <v>149</v>
      </c>
      <c r="BS32" t="s">
        <v>149</v>
      </c>
      <c r="BT32" t="s">
        <v>149</v>
      </c>
      <c r="BU32" t="s">
        <v>149</v>
      </c>
      <c r="BV32" t="s">
        <v>149</v>
      </c>
      <c r="BW32" t="s">
        <v>149</v>
      </c>
      <c r="BX32" t="s">
        <v>149</v>
      </c>
      <c r="BY32" t="s">
        <v>149</v>
      </c>
      <c r="BZ32" t="s">
        <v>149</v>
      </c>
      <c r="CA32" t="s">
        <v>149</v>
      </c>
      <c r="CB32" t="s">
        <v>149</v>
      </c>
      <c r="CC32" t="s">
        <v>149</v>
      </c>
      <c r="CD32" t="s">
        <v>149</v>
      </c>
      <c r="CE32" t="s">
        <v>149</v>
      </c>
      <c r="CF32" t="s">
        <v>149</v>
      </c>
      <c r="CG32" t="s">
        <v>149</v>
      </c>
      <c r="CH32" t="s">
        <v>149</v>
      </c>
      <c r="CI32" t="s">
        <v>149</v>
      </c>
      <c r="CJ32" t="s">
        <v>149</v>
      </c>
      <c r="CK32" t="s">
        <v>149</v>
      </c>
      <c r="CL32" t="s">
        <v>149</v>
      </c>
      <c r="CM32" t="s">
        <v>149</v>
      </c>
      <c r="CN32" t="s">
        <v>149</v>
      </c>
      <c r="CO32" t="s">
        <v>149</v>
      </c>
      <c r="CP32" t="s">
        <v>149</v>
      </c>
      <c r="CQ32" t="s">
        <v>149</v>
      </c>
      <c r="CR32" t="s">
        <v>149</v>
      </c>
      <c r="CS32" t="s">
        <v>149</v>
      </c>
      <c r="CT32" t="s">
        <v>149</v>
      </c>
      <c r="CU32" t="s">
        <v>149</v>
      </c>
      <c r="CV32" t="s">
        <v>149</v>
      </c>
      <c r="CW32" t="s">
        <v>149</v>
      </c>
      <c r="CX32" t="s">
        <v>149</v>
      </c>
      <c r="CY32" t="s">
        <v>149</v>
      </c>
      <c r="CZ32" t="s">
        <v>149</v>
      </c>
      <c r="DA32" t="s">
        <v>149</v>
      </c>
      <c r="DC32" t="s">
        <v>149</v>
      </c>
    </row>
    <row r="33" spans="1:107" x14ac:dyDescent="0.25">
      <c r="A33" t="s">
        <v>149</v>
      </c>
      <c r="B33" t="s">
        <v>149</v>
      </c>
      <c r="C33" t="s">
        <v>149</v>
      </c>
      <c r="D33" t="s">
        <v>149</v>
      </c>
      <c r="E33" t="s">
        <v>149</v>
      </c>
      <c r="F33" t="s">
        <v>149</v>
      </c>
      <c r="G33" t="s">
        <v>149</v>
      </c>
      <c r="H33" t="s">
        <v>149</v>
      </c>
      <c r="I33" t="s">
        <v>149</v>
      </c>
      <c r="J33" t="s">
        <v>149</v>
      </c>
      <c r="K33" t="s">
        <v>149</v>
      </c>
      <c r="L33" t="s">
        <v>149</v>
      </c>
      <c r="M33" t="s">
        <v>149</v>
      </c>
      <c r="N33" t="s">
        <v>149</v>
      </c>
      <c r="O33" t="s">
        <v>149</v>
      </c>
      <c r="P33" t="s">
        <v>149</v>
      </c>
      <c r="Q33" t="s">
        <v>149</v>
      </c>
      <c r="R33" t="s">
        <v>149</v>
      </c>
      <c r="S33" t="s">
        <v>149</v>
      </c>
      <c r="T33" t="s">
        <v>149</v>
      </c>
      <c r="U33" t="s">
        <v>149</v>
      </c>
      <c r="V33" t="s">
        <v>149</v>
      </c>
      <c r="W33" t="s">
        <v>149</v>
      </c>
      <c r="X33" t="s">
        <v>149</v>
      </c>
      <c r="Y33" t="s">
        <v>149</v>
      </c>
      <c r="Z33" t="s">
        <v>149</v>
      </c>
      <c r="AA33" t="s">
        <v>149</v>
      </c>
      <c r="AB33" t="s">
        <v>149</v>
      </c>
      <c r="AC33" t="s">
        <v>149</v>
      </c>
      <c r="AD33" t="s">
        <v>149</v>
      </c>
      <c r="AE33" t="s">
        <v>149</v>
      </c>
      <c r="AF33" t="s">
        <v>149</v>
      </c>
      <c r="AG33" t="s">
        <v>149</v>
      </c>
      <c r="AH33" t="s">
        <v>149</v>
      </c>
      <c r="AI33" t="s">
        <v>149</v>
      </c>
      <c r="AJ33" t="s">
        <v>149</v>
      </c>
      <c r="AK33" t="s">
        <v>149</v>
      </c>
      <c r="AL33" t="s">
        <v>149</v>
      </c>
      <c r="AM33" t="s">
        <v>149</v>
      </c>
      <c r="AN33" t="s">
        <v>149</v>
      </c>
      <c r="AO33" t="s">
        <v>149</v>
      </c>
      <c r="AP33" t="s">
        <v>149</v>
      </c>
      <c r="AQ33" t="s">
        <v>149</v>
      </c>
      <c r="AR33" t="s">
        <v>149</v>
      </c>
      <c r="AS33" t="s">
        <v>149</v>
      </c>
      <c r="AT33" t="s">
        <v>149</v>
      </c>
      <c r="AU33" t="s">
        <v>149</v>
      </c>
      <c r="AV33" t="s">
        <v>149</v>
      </c>
      <c r="AW33" t="s">
        <v>149</v>
      </c>
      <c r="AX33" t="s">
        <v>149</v>
      </c>
      <c r="AY33" t="s">
        <v>149</v>
      </c>
      <c r="AZ33" t="s">
        <v>149</v>
      </c>
      <c r="BA33" t="s">
        <v>149</v>
      </c>
      <c r="BB33" t="s">
        <v>149</v>
      </c>
      <c r="BC33" t="s">
        <v>149</v>
      </c>
      <c r="BD33" t="s">
        <v>149</v>
      </c>
      <c r="BE33" t="s">
        <v>149</v>
      </c>
      <c r="BF33" t="s">
        <v>149</v>
      </c>
      <c r="BG33" t="s">
        <v>149</v>
      </c>
      <c r="BH33" t="s">
        <v>149</v>
      </c>
      <c r="BI33" t="s">
        <v>149</v>
      </c>
      <c r="BJ33" t="s">
        <v>149</v>
      </c>
      <c r="BK33" t="s">
        <v>149</v>
      </c>
      <c r="BL33" t="s">
        <v>149</v>
      </c>
      <c r="BM33" t="s">
        <v>149</v>
      </c>
      <c r="BN33" t="s">
        <v>149</v>
      </c>
      <c r="BO33" t="s">
        <v>149</v>
      </c>
      <c r="BP33" t="s">
        <v>149</v>
      </c>
      <c r="BQ33" t="s">
        <v>149</v>
      </c>
      <c r="BR33" t="s">
        <v>149</v>
      </c>
      <c r="BS33" t="s">
        <v>149</v>
      </c>
      <c r="BT33" t="s">
        <v>149</v>
      </c>
      <c r="BU33" t="s">
        <v>149</v>
      </c>
      <c r="BV33" t="s">
        <v>149</v>
      </c>
      <c r="BW33" t="s">
        <v>149</v>
      </c>
      <c r="BX33" t="s">
        <v>149</v>
      </c>
      <c r="BY33" t="s">
        <v>149</v>
      </c>
      <c r="BZ33" t="s">
        <v>149</v>
      </c>
      <c r="CA33" t="s">
        <v>149</v>
      </c>
      <c r="CB33" t="s">
        <v>149</v>
      </c>
      <c r="CC33" t="s">
        <v>149</v>
      </c>
      <c r="CD33" t="s">
        <v>149</v>
      </c>
      <c r="CE33" t="s">
        <v>149</v>
      </c>
      <c r="CF33" t="s">
        <v>149</v>
      </c>
      <c r="CG33" t="s">
        <v>149</v>
      </c>
      <c r="CH33" t="s">
        <v>149</v>
      </c>
      <c r="CI33" t="s">
        <v>149</v>
      </c>
      <c r="CJ33" t="s">
        <v>149</v>
      </c>
      <c r="CK33" t="s">
        <v>149</v>
      </c>
      <c r="CL33" t="s">
        <v>149</v>
      </c>
      <c r="CM33" t="s">
        <v>149</v>
      </c>
      <c r="CN33" t="s">
        <v>149</v>
      </c>
      <c r="CO33" t="s">
        <v>149</v>
      </c>
      <c r="CP33" t="s">
        <v>149</v>
      </c>
      <c r="CQ33" t="s">
        <v>149</v>
      </c>
      <c r="CR33" t="s">
        <v>149</v>
      </c>
      <c r="CS33" t="s">
        <v>149</v>
      </c>
      <c r="CT33" t="s">
        <v>149</v>
      </c>
      <c r="CU33" t="s">
        <v>149</v>
      </c>
      <c r="CV33" t="s">
        <v>149</v>
      </c>
      <c r="CW33" t="s">
        <v>149</v>
      </c>
      <c r="CX33" t="s">
        <v>149</v>
      </c>
      <c r="CY33" t="s">
        <v>149</v>
      </c>
      <c r="CZ33" t="s">
        <v>149</v>
      </c>
      <c r="DA33" t="s">
        <v>149</v>
      </c>
      <c r="DC33" t="s">
        <v>149</v>
      </c>
    </row>
    <row r="34" spans="1:107" x14ac:dyDescent="0.25">
      <c r="A34" t="s">
        <v>149</v>
      </c>
      <c r="B34" t="s">
        <v>149</v>
      </c>
      <c r="C34" t="s">
        <v>149</v>
      </c>
      <c r="D34" t="s">
        <v>149</v>
      </c>
      <c r="E34" t="s">
        <v>149</v>
      </c>
      <c r="F34" t="s">
        <v>149</v>
      </c>
      <c r="G34" t="s">
        <v>149</v>
      </c>
      <c r="H34" t="s">
        <v>149</v>
      </c>
      <c r="I34" t="s">
        <v>149</v>
      </c>
      <c r="J34" t="s">
        <v>149</v>
      </c>
      <c r="K34" t="s">
        <v>149</v>
      </c>
      <c r="L34" t="s">
        <v>149</v>
      </c>
      <c r="M34" t="s">
        <v>149</v>
      </c>
      <c r="N34" t="s">
        <v>149</v>
      </c>
      <c r="O34" t="s">
        <v>149</v>
      </c>
      <c r="P34" t="s">
        <v>149</v>
      </c>
      <c r="Q34" t="s">
        <v>149</v>
      </c>
      <c r="R34" t="s">
        <v>149</v>
      </c>
      <c r="S34" t="s">
        <v>149</v>
      </c>
      <c r="T34" t="s">
        <v>149</v>
      </c>
      <c r="U34" t="s">
        <v>149</v>
      </c>
      <c r="V34" t="s">
        <v>149</v>
      </c>
      <c r="W34" t="s">
        <v>149</v>
      </c>
      <c r="X34" t="s">
        <v>149</v>
      </c>
      <c r="Y34" t="s">
        <v>149</v>
      </c>
      <c r="Z34" t="s">
        <v>149</v>
      </c>
      <c r="AA34" t="s">
        <v>149</v>
      </c>
      <c r="AB34" t="s">
        <v>149</v>
      </c>
      <c r="AC34" t="s">
        <v>149</v>
      </c>
      <c r="AD34" t="s">
        <v>149</v>
      </c>
      <c r="AE34" t="s">
        <v>149</v>
      </c>
      <c r="AF34" t="s">
        <v>149</v>
      </c>
      <c r="AG34" t="s">
        <v>149</v>
      </c>
      <c r="AH34" t="s">
        <v>149</v>
      </c>
      <c r="AI34" t="s">
        <v>149</v>
      </c>
      <c r="AJ34" t="s">
        <v>149</v>
      </c>
      <c r="AK34" t="s">
        <v>149</v>
      </c>
      <c r="AL34" t="s">
        <v>149</v>
      </c>
      <c r="AM34" t="s">
        <v>149</v>
      </c>
      <c r="AN34" t="s">
        <v>149</v>
      </c>
      <c r="AO34" t="s">
        <v>149</v>
      </c>
      <c r="AP34" t="s">
        <v>149</v>
      </c>
      <c r="AQ34" t="s">
        <v>149</v>
      </c>
      <c r="AR34" t="s">
        <v>149</v>
      </c>
      <c r="AS34" t="s">
        <v>149</v>
      </c>
      <c r="AT34" t="s">
        <v>149</v>
      </c>
      <c r="AU34" t="s">
        <v>149</v>
      </c>
      <c r="AV34" t="s">
        <v>149</v>
      </c>
      <c r="AW34" t="s">
        <v>149</v>
      </c>
      <c r="AX34" t="s">
        <v>149</v>
      </c>
      <c r="AY34" t="s">
        <v>149</v>
      </c>
      <c r="AZ34" t="s">
        <v>149</v>
      </c>
      <c r="BA34" t="s">
        <v>149</v>
      </c>
      <c r="BB34" t="s">
        <v>149</v>
      </c>
      <c r="BC34" t="s">
        <v>149</v>
      </c>
      <c r="BD34" t="s">
        <v>149</v>
      </c>
      <c r="BE34" t="s">
        <v>149</v>
      </c>
      <c r="BF34" t="s">
        <v>149</v>
      </c>
      <c r="BG34" t="s">
        <v>149</v>
      </c>
      <c r="BH34" t="s">
        <v>149</v>
      </c>
      <c r="BI34" t="s">
        <v>149</v>
      </c>
      <c r="BJ34" t="s">
        <v>149</v>
      </c>
      <c r="BK34" t="s">
        <v>149</v>
      </c>
      <c r="BL34" t="s">
        <v>149</v>
      </c>
      <c r="BM34" t="s">
        <v>149</v>
      </c>
      <c r="BN34" t="s">
        <v>149</v>
      </c>
      <c r="BO34" t="s">
        <v>149</v>
      </c>
      <c r="BP34" t="s">
        <v>149</v>
      </c>
      <c r="BQ34" t="s">
        <v>149</v>
      </c>
      <c r="BR34" t="s">
        <v>149</v>
      </c>
      <c r="BS34" t="s">
        <v>149</v>
      </c>
      <c r="BT34" t="s">
        <v>149</v>
      </c>
      <c r="BU34" t="s">
        <v>149</v>
      </c>
      <c r="BV34" t="s">
        <v>149</v>
      </c>
      <c r="BW34" t="s">
        <v>149</v>
      </c>
      <c r="BX34" t="s">
        <v>149</v>
      </c>
      <c r="BY34" t="s">
        <v>149</v>
      </c>
      <c r="BZ34" t="s">
        <v>149</v>
      </c>
      <c r="CA34" t="s">
        <v>149</v>
      </c>
      <c r="CB34" t="s">
        <v>149</v>
      </c>
      <c r="CC34" t="s">
        <v>149</v>
      </c>
      <c r="CD34" t="s">
        <v>149</v>
      </c>
      <c r="CE34" t="s">
        <v>149</v>
      </c>
      <c r="CF34" t="s">
        <v>149</v>
      </c>
      <c r="CG34" t="s">
        <v>149</v>
      </c>
      <c r="CH34" t="s">
        <v>149</v>
      </c>
      <c r="CI34" t="s">
        <v>149</v>
      </c>
      <c r="CJ34" t="s">
        <v>149</v>
      </c>
      <c r="CK34" t="s">
        <v>149</v>
      </c>
      <c r="CL34" t="s">
        <v>149</v>
      </c>
      <c r="CM34" t="s">
        <v>149</v>
      </c>
      <c r="CN34" t="s">
        <v>149</v>
      </c>
      <c r="CO34" t="s">
        <v>149</v>
      </c>
      <c r="CP34" t="s">
        <v>149</v>
      </c>
      <c r="CQ34" t="s">
        <v>149</v>
      </c>
      <c r="CR34" t="s">
        <v>149</v>
      </c>
      <c r="CS34" t="s">
        <v>149</v>
      </c>
      <c r="CT34" t="s">
        <v>149</v>
      </c>
      <c r="CU34" t="s">
        <v>149</v>
      </c>
      <c r="CV34" t="s">
        <v>149</v>
      </c>
      <c r="CW34" t="s">
        <v>149</v>
      </c>
      <c r="CX34" t="s">
        <v>149</v>
      </c>
      <c r="CY34" t="s">
        <v>149</v>
      </c>
      <c r="CZ34" t="s">
        <v>149</v>
      </c>
      <c r="DA34" t="s">
        <v>149</v>
      </c>
      <c r="DC34" t="s">
        <v>149</v>
      </c>
    </row>
    <row r="35" spans="1:107" x14ac:dyDescent="0.25">
      <c r="A35" t="s">
        <v>149</v>
      </c>
      <c r="B35" t="s">
        <v>149</v>
      </c>
      <c r="C35" t="s">
        <v>149</v>
      </c>
      <c r="D35" t="s">
        <v>149</v>
      </c>
      <c r="E35" t="s">
        <v>149</v>
      </c>
      <c r="F35" t="s">
        <v>149</v>
      </c>
      <c r="G35" t="s">
        <v>149</v>
      </c>
      <c r="H35" t="s">
        <v>149</v>
      </c>
      <c r="I35" t="s">
        <v>149</v>
      </c>
      <c r="J35" t="s">
        <v>149</v>
      </c>
      <c r="K35" t="s">
        <v>149</v>
      </c>
      <c r="L35" t="s">
        <v>149</v>
      </c>
      <c r="M35" t="s">
        <v>149</v>
      </c>
      <c r="N35" t="s">
        <v>149</v>
      </c>
      <c r="O35" t="s">
        <v>149</v>
      </c>
      <c r="P35" t="s">
        <v>149</v>
      </c>
      <c r="Q35" t="s">
        <v>149</v>
      </c>
      <c r="R35" t="s">
        <v>149</v>
      </c>
      <c r="S35" t="s">
        <v>149</v>
      </c>
      <c r="T35" t="s">
        <v>149</v>
      </c>
      <c r="U35" t="s">
        <v>149</v>
      </c>
      <c r="V35" t="s">
        <v>149</v>
      </c>
      <c r="W35" t="s">
        <v>149</v>
      </c>
      <c r="X35" t="s">
        <v>149</v>
      </c>
      <c r="Y35" t="s">
        <v>149</v>
      </c>
      <c r="Z35" t="s">
        <v>149</v>
      </c>
      <c r="AA35" t="s">
        <v>149</v>
      </c>
      <c r="AB35" t="s">
        <v>149</v>
      </c>
      <c r="AC35" t="s">
        <v>149</v>
      </c>
      <c r="AD35" t="s">
        <v>149</v>
      </c>
      <c r="AE35" t="s">
        <v>149</v>
      </c>
      <c r="AF35" t="s">
        <v>149</v>
      </c>
      <c r="AG35" t="s">
        <v>149</v>
      </c>
      <c r="AH35" t="s">
        <v>149</v>
      </c>
      <c r="AI35" t="s">
        <v>149</v>
      </c>
      <c r="AJ35" t="s">
        <v>149</v>
      </c>
      <c r="AK35" t="s">
        <v>149</v>
      </c>
      <c r="AL35" t="s">
        <v>149</v>
      </c>
      <c r="AM35" t="s">
        <v>149</v>
      </c>
      <c r="AN35" t="s">
        <v>149</v>
      </c>
      <c r="AO35" t="s">
        <v>149</v>
      </c>
      <c r="AP35" t="s">
        <v>149</v>
      </c>
      <c r="AQ35" t="s">
        <v>149</v>
      </c>
      <c r="AR35" t="s">
        <v>149</v>
      </c>
      <c r="AS35" t="s">
        <v>149</v>
      </c>
      <c r="AT35" t="s">
        <v>149</v>
      </c>
      <c r="AU35" t="s">
        <v>149</v>
      </c>
      <c r="AV35" t="s">
        <v>149</v>
      </c>
      <c r="AW35" t="s">
        <v>149</v>
      </c>
      <c r="AX35" t="s">
        <v>149</v>
      </c>
      <c r="AY35" t="s">
        <v>149</v>
      </c>
      <c r="AZ35" t="s">
        <v>149</v>
      </c>
      <c r="BA35" t="s">
        <v>149</v>
      </c>
      <c r="BB35" t="s">
        <v>149</v>
      </c>
      <c r="BC35" t="s">
        <v>149</v>
      </c>
      <c r="BD35" t="s">
        <v>149</v>
      </c>
      <c r="BE35" t="s">
        <v>149</v>
      </c>
      <c r="BF35" t="s">
        <v>149</v>
      </c>
      <c r="BG35" t="s">
        <v>149</v>
      </c>
      <c r="BH35" t="s">
        <v>149</v>
      </c>
      <c r="BI35" t="s">
        <v>149</v>
      </c>
      <c r="BJ35" t="s">
        <v>149</v>
      </c>
      <c r="BK35" t="s">
        <v>149</v>
      </c>
      <c r="BL35" t="s">
        <v>149</v>
      </c>
      <c r="BM35" t="s">
        <v>149</v>
      </c>
      <c r="BN35" t="s">
        <v>149</v>
      </c>
      <c r="BO35" t="s">
        <v>149</v>
      </c>
      <c r="BP35" t="s">
        <v>149</v>
      </c>
      <c r="BQ35" t="s">
        <v>149</v>
      </c>
      <c r="BR35" t="s">
        <v>149</v>
      </c>
      <c r="BS35" t="s">
        <v>149</v>
      </c>
      <c r="BT35" t="s">
        <v>149</v>
      </c>
      <c r="BU35" t="s">
        <v>149</v>
      </c>
      <c r="BV35" t="s">
        <v>149</v>
      </c>
      <c r="BW35" t="s">
        <v>149</v>
      </c>
      <c r="BX35" t="s">
        <v>149</v>
      </c>
      <c r="BY35" t="s">
        <v>149</v>
      </c>
      <c r="BZ35" t="s">
        <v>149</v>
      </c>
      <c r="CA35" t="s">
        <v>149</v>
      </c>
      <c r="CB35" t="s">
        <v>149</v>
      </c>
      <c r="CC35" t="s">
        <v>149</v>
      </c>
      <c r="CD35" t="s">
        <v>149</v>
      </c>
      <c r="CE35" t="s">
        <v>149</v>
      </c>
      <c r="CF35" t="s">
        <v>149</v>
      </c>
      <c r="CG35" t="s">
        <v>149</v>
      </c>
      <c r="CH35" t="s">
        <v>149</v>
      </c>
      <c r="CI35" t="s">
        <v>149</v>
      </c>
      <c r="CJ35" t="s">
        <v>149</v>
      </c>
      <c r="CK35" t="s">
        <v>149</v>
      </c>
      <c r="CL35" t="s">
        <v>149</v>
      </c>
      <c r="CM35" t="s">
        <v>149</v>
      </c>
      <c r="CN35" t="s">
        <v>149</v>
      </c>
      <c r="CO35" t="s">
        <v>149</v>
      </c>
      <c r="CP35" t="s">
        <v>149</v>
      </c>
      <c r="CQ35" t="s">
        <v>149</v>
      </c>
      <c r="CR35" t="s">
        <v>149</v>
      </c>
      <c r="CS35" t="s">
        <v>149</v>
      </c>
      <c r="CT35" t="s">
        <v>149</v>
      </c>
      <c r="CU35" t="s">
        <v>149</v>
      </c>
      <c r="CV35" t="s">
        <v>149</v>
      </c>
      <c r="CW35" t="s">
        <v>149</v>
      </c>
      <c r="CX35" t="s">
        <v>149</v>
      </c>
      <c r="CY35" t="s">
        <v>149</v>
      </c>
      <c r="CZ35" t="s">
        <v>149</v>
      </c>
      <c r="DA35" t="s">
        <v>149</v>
      </c>
      <c r="DC35" t="s">
        <v>149</v>
      </c>
    </row>
    <row r="36" spans="1:107" x14ac:dyDescent="0.25">
      <c r="A36" t="s">
        <v>149</v>
      </c>
      <c r="B36" t="s">
        <v>149</v>
      </c>
      <c r="C36" t="s">
        <v>149</v>
      </c>
      <c r="D36" t="s">
        <v>149</v>
      </c>
      <c r="E36" t="s">
        <v>149</v>
      </c>
      <c r="F36" t="s">
        <v>149</v>
      </c>
      <c r="G36" t="s">
        <v>149</v>
      </c>
      <c r="H36" t="s">
        <v>149</v>
      </c>
      <c r="I36" t="s">
        <v>149</v>
      </c>
      <c r="J36" t="s">
        <v>149</v>
      </c>
      <c r="K36" t="s">
        <v>149</v>
      </c>
      <c r="L36" t="s">
        <v>149</v>
      </c>
      <c r="M36" t="s">
        <v>149</v>
      </c>
      <c r="N36" t="s">
        <v>149</v>
      </c>
      <c r="O36" t="s">
        <v>149</v>
      </c>
      <c r="P36" t="s">
        <v>149</v>
      </c>
      <c r="Q36" t="s">
        <v>149</v>
      </c>
      <c r="R36" t="s">
        <v>149</v>
      </c>
      <c r="S36" t="s">
        <v>149</v>
      </c>
      <c r="T36" t="s">
        <v>149</v>
      </c>
      <c r="U36" t="s">
        <v>149</v>
      </c>
      <c r="V36" t="s">
        <v>149</v>
      </c>
      <c r="W36" t="s">
        <v>149</v>
      </c>
      <c r="X36" t="s">
        <v>149</v>
      </c>
      <c r="Y36" t="s">
        <v>149</v>
      </c>
      <c r="Z36" t="s">
        <v>149</v>
      </c>
      <c r="AA36" t="s">
        <v>149</v>
      </c>
      <c r="AB36" t="s">
        <v>149</v>
      </c>
      <c r="AC36" t="s">
        <v>149</v>
      </c>
      <c r="AD36" t="s">
        <v>149</v>
      </c>
      <c r="AE36" t="s">
        <v>149</v>
      </c>
      <c r="AF36" t="s">
        <v>149</v>
      </c>
      <c r="AG36" t="s">
        <v>149</v>
      </c>
      <c r="AH36" t="s">
        <v>149</v>
      </c>
      <c r="AI36" t="s">
        <v>149</v>
      </c>
      <c r="AJ36" t="s">
        <v>149</v>
      </c>
      <c r="AK36" t="s">
        <v>149</v>
      </c>
      <c r="AL36" t="s">
        <v>149</v>
      </c>
      <c r="AM36" t="s">
        <v>149</v>
      </c>
      <c r="AN36" t="s">
        <v>149</v>
      </c>
      <c r="AO36" t="s">
        <v>149</v>
      </c>
      <c r="AP36" t="s">
        <v>149</v>
      </c>
      <c r="AQ36" t="s">
        <v>149</v>
      </c>
      <c r="AR36" t="s">
        <v>149</v>
      </c>
      <c r="AS36" t="s">
        <v>149</v>
      </c>
      <c r="AT36" t="s">
        <v>149</v>
      </c>
      <c r="AU36" t="s">
        <v>149</v>
      </c>
      <c r="AV36" t="s">
        <v>149</v>
      </c>
      <c r="AW36" t="s">
        <v>149</v>
      </c>
      <c r="AX36" t="s">
        <v>149</v>
      </c>
      <c r="AY36" t="s">
        <v>149</v>
      </c>
      <c r="AZ36" t="s">
        <v>149</v>
      </c>
      <c r="BA36" t="s">
        <v>149</v>
      </c>
      <c r="BB36" t="s">
        <v>149</v>
      </c>
      <c r="BC36" t="s">
        <v>149</v>
      </c>
      <c r="BD36" t="s">
        <v>149</v>
      </c>
      <c r="BE36" t="s">
        <v>149</v>
      </c>
      <c r="BF36" t="s">
        <v>149</v>
      </c>
      <c r="BG36" t="s">
        <v>149</v>
      </c>
      <c r="BH36" t="s">
        <v>149</v>
      </c>
      <c r="BI36" t="s">
        <v>149</v>
      </c>
      <c r="BJ36" t="s">
        <v>149</v>
      </c>
      <c r="BK36" t="s">
        <v>149</v>
      </c>
      <c r="BL36" t="s">
        <v>149</v>
      </c>
      <c r="BM36" t="s">
        <v>149</v>
      </c>
      <c r="BN36" t="s">
        <v>149</v>
      </c>
      <c r="BO36" t="s">
        <v>149</v>
      </c>
      <c r="BP36" t="s">
        <v>149</v>
      </c>
      <c r="BQ36" t="s">
        <v>149</v>
      </c>
      <c r="BR36" t="s">
        <v>149</v>
      </c>
      <c r="BS36" t="s">
        <v>149</v>
      </c>
      <c r="BT36" t="s">
        <v>149</v>
      </c>
      <c r="BU36" t="s">
        <v>149</v>
      </c>
      <c r="BV36" t="s">
        <v>149</v>
      </c>
      <c r="BW36" t="s">
        <v>149</v>
      </c>
      <c r="BX36" t="s">
        <v>149</v>
      </c>
      <c r="BY36" t="s">
        <v>149</v>
      </c>
      <c r="BZ36" t="s">
        <v>149</v>
      </c>
      <c r="CA36" t="s">
        <v>149</v>
      </c>
      <c r="CB36" t="s">
        <v>149</v>
      </c>
      <c r="CC36" t="s">
        <v>149</v>
      </c>
      <c r="CD36" t="s">
        <v>149</v>
      </c>
      <c r="CE36" t="s">
        <v>149</v>
      </c>
      <c r="CF36" t="s">
        <v>149</v>
      </c>
      <c r="CG36" t="s">
        <v>149</v>
      </c>
      <c r="CH36" t="s">
        <v>149</v>
      </c>
      <c r="CI36" t="s">
        <v>149</v>
      </c>
      <c r="CJ36" t="s">
        <v>149</v>
      </c>
      <c r="CK36" t="s">
        <v>149</v>
      </c>
      <c r="CL36" t="s">
        <v>149</v>
      </c>
      <c r="CM36" t="s">
        <v>149</v>
      </c>
      <c r="CN36" t="s">
        <v>149</v>
      </c>
      <c r="CO36" t="s">
        <v>149</v>
      </c>
      <c r="CP36" t="s">
        <v>149</v>
      </c>
      <c r="CQ36" t="s">
        <v>149</v>
      </c>
      <c r="CR36" t="s">
        <v>149</v>
      </c>
      <c r="CS36" t="s">
        <v>149</v>
      </c>
      <c r="CT36" t="s">
        <v>149</v>
      </c>
      <c r="CU36" t="s">
        <v>149</v>
      </c>
      <c r="CV36" t="s">
        <v>149</v>
      </c>
      <c r="CW36" t="s">
        <v>149</v>
      </c>
      <c r="CX36" t="s">
        <v>149</v>
      </c>
      <c r="CY36" t="s">
        <v>149</v>
      </c>
      <c r="CZ36" t="s">
        <v>149</v>
      </c>
      <c r="DA36" t="s">
        <v>149</v>
      </c>
      <c r="DC36" t="s">
        <v>149</v>
      </c>
    </row>
    <row r="37" spans="1:107" x14ac:dyDescent="0.25">
      <c r="A37" t="s">
        <v>149</v>
      </c>
      <c r="B37" t="s">
        <v>149</v>
      </c>
      <c r="C37" t="s">
        <v>149</v>
      </c>
      <c r="D37" t="s">
        <v>149</v>
      </c>
      <c r="E37" t="s">
        <v>149</v>
      </c>
      <c r="F37" t="s">
        <v>149</v>
      </c>
      <c r="G37" t="s">
        <v>149</v>
      </c>
      <c r="H37" t="s">
        <v>149</v>
      </c>
      <c r="I37" t="s">
        <v>149</v>
      </c>
      <c r="J37" t="s">
        <v>149</v>
      </c>
      <c r="K37" t="s">
        <v>149</v>
      </c>
      <c r="L37" t="s">
        <v>149</v>
      </c>
      <c r="M37" t="s">
        <v>149</v>
      </c>
      <c r="N37" t="s">
        <v>149</v>
      </c>
      <c r="O37" t="s">
        <v>149</v>
      </c>
      <c r="P37" t="s">
        <v>149</v>
      </c>
      <c r="Q37" t="s">
        <v>149</v>
      </c>
      <c r="R37" t="s">
        <v>149</v>
      </c>
      <c r="S37" t="s">
        <v>149</v>
      </c>
      <c r="T37" t="s">
        <v>149</v>
      </c>
      <c r="U37" t="s">
        <v>149</v>
      </c>
      <c r="V37" t="s">
        <v>149</v>
      </c>
      <c r="W37" t="s">
        <v>149</v>
      </c>
      <c r="X37" t="s">
        <v>149</v>
      </c>
      <c r="Y37" t="s">
        <v>149</v>
      </c>
      <c r="Z37" t="s">
        <v>149</v>
      </c>
      <c r="AA37" t="s">
        <v>149</v>
      </c>
      <c r="AB37" t="s">
        <v>149</v>
      </c>
      <c r="AC37" t="s">
        <v>149</v>
      </c>
      <c r="AD37" t="s">
        <v>149</v>
      </c>
      <c r="AE37" t="s">
        <v>149</v>
      </c>
      <c r="AF37" t="s">
        <v>149</v>
      </c>
      <c r="AG37" t="s">
        <v>149</v>
      </c>
      <c r="AH37" t="s">
        <v>149</v>
      </c>
      <c r="AI37" t="s">
        <v>149</v>
      </c>
      <c r="AJ37" t="s">
        <v>149</v>
      </c>
      <c r="AK37" t="s">
        <v>149</v>
      </c>
      <c r="AL37" t="s">
        <v>149</v>
      </c>
      <c r="AM37" t="s">
        <v>149</v>
      </c>
      <c r="AN37" t="s">
        <v>149</v>
      </c>
      <c r="AO37" t="s">
        <v>149</v>
      </c>
      <c r="AP37" t="s">
        <v>149</v>
      </c>
      <c r="AQ37" t="s">
        <v>149</v>
      </c>
      <c r="AR37" t="s">
        <v>149</v>
      </c>
      <c r="AS37" t="s">
        <v>149</v>
      </c>
      <c r="AT37" t="s">
        <v>149</v>
      </c>
      <c r="AU37" t="s">
        <v>149</v>
      </c>
      <c r="AV37" t="s">
        <v>149</v>
      </c>
      <c r="AW37" t="s">
        <v>149</v>
      </c>
      <c r="AX37" t="s">
        <v>149</v>
      </c>
      <c r="AY37" t="s">
        <v>149</v>
      </c>
      <c r="AZ37" t="s">
        <v>149</v>
      </c>
      <c r="BA37" t="s">
        <v>149</v>
      </c>
      <c r="BB37" t="s">
        <v>149</v>
      </c>
      <c r="BC37" t="s">
        <v>149</v>
      </c>
      <c r="BD37" t="s">
        <v>149</v>
      </c>
      <c r="BE37" t="s">
        <v>149</v>
      </c>
      <c r="BF37" t="s">
        <v>149</v>
      </c>
      <c r="BG37" t="s">
        <v>149</v>
      </c>
      <c r="BH37" t="s">
        <v>149</v>
      </c>
      <c r="BI37" t="s">
        <v>149</v>
      </c>
      <c r="BJ37" t="s">
        <v>149</v>
      </c>
      <c r="BK37" t="s">
        <v>149</v>
      </c>
      <c r="BL37" t="s">
        <v>149</v>
      </c>
      <c r="BM37" t="s">
        <v>149</v>
      </c>
      <c r="BN37" t="s">
        <v>149</v>
      </c>
      <c r="BO37" t="s">
        <v>149</v>
      </c>
      <c r="BP37" t="s">
        <v>149</v>
      </c>
      <c r="BQ37" t="s">
        <v>149</v>
      </c>
      <c r="BR37" t="s">
        <v>149</v>
      </c>
      <c r="BS37" t="s">
        <v>149</v>
      </c>
      <c r="BT37" t="s">
        <v>149</v>
      </c>
      <c r="BU37" t="s">
        <v>149</v>
      </c>
      <c r="BV37" t="s">
        <v>149</v>
      </c>
      <c r="BW37" t="s">
        <v>149</v>
      </c>
      <c r="BX37" t="s">
        <v>149</v>
      </c>
      <c r="BY37" t="s">
        <v>149</v>
      </c>
      <c r="BZ37" t="s">
        <v>149</v>
      </c>
      <c r="CA37" t="s">
        <v>149</v>
      </c>
      <c r="CB37" t="s">
        <v>149</v>
      </c>
      <c r="CC37" t="s">
        <v>149</v>
      </c>
      <c r="CD37" t="s">
        <v>149</v>
      </c>
      <c r="CE37" t="s">
        <v>149</v>
      </c>
      <c r="CF37" t="s">
        <v>149</v>
      </c>
      <c r="CG37" t="s">
        <v>149</v>
      </c>
      <c r="CH37" t="s">
        <v>149</v>
      </c>
      <c r="CI37" t="s">
        <v>149</v>
      </c>
      <c r="CJ37" t="s">
        <v>149</v>
      </c>
      <c r="CK37" t="s">
        <v>149</v>
      </c>
      <c r="CL37" t="s">
        <v>149</v>
      </c>
      <c r="CM37" t="s">
        <v>149</v>
      </c>
      <c r="CN37" t="s">
        <v>149</v>
      </c>
      <c r="CO37" t="s">
        <v>149</v>
      </c>
      <c r="CP37" t="s">
        <v>149</v>
      </c>
      <c r="CQ37" t="s">
        <v>149</v>
      </c>
      <c r="CR37" t="s">
        <v>149</v>
      </c>
      <c r="CS37" t="s">
        <v>149</v>
      </c>
      <c r="CT37" t="s">
        <v>149</v>
      </c>
      <c r="CU37" t="s">
        <v>149</v>
      </c>
      <c r="CV37" t="s">
        <v>149</v>
      </c>
      <c r="CW37" t="s">
        <v>149</v>
      </c>
      <c r="CX37" t="s">
        <v>149</v>
      </c>
      <c r="CY37" t="s">
        <v>149</v>
      </c>
      <c r="CZ37" t="s">
        <v>149</v>
      </c>
      <c r="DA37" t="s">
        <v>149</v>
      </c>
      <c r="DC37" t="s">
        <v>149</v>
      </c>
    </row>
    <row r="38" spans="1:107" x14ac:dyDescent="0.25">
      <c r="A38" t="s">
        <v>149</v>
      </c>
      <c r="B38" t="s">
        <v>149</v>
      </c>
      <c r="C38" t="s">
        <v>149</v>
      </c>
      <c r="D38" t="s">
        <v>149</v>
      </c>
      <c r="E38" t="s">
        <v>149</v>
      </c>
      <c r="F38" t="s">
        <v>149</v>
      </c>
      <c r="G38" t="s">
        <v>149</v>
      </c>
      <c r="H38" t="s">
        <v>149</v>
      </c>
      <c r="I38" t="s">
        <v>149</v>
      </c>
      <c r="J38" t="s">
        <v>149</v>
      </c>
      <c r="K38" t="s">
        <v>149</v>
      </c>
      <c r="L38" t="s">
        <v>149</v>
      </c>
      <c r="M38" t="s">
        <v>149</v>
      </c>
      <c r="N38" t="s">
        <v>149</v>
      </c>
      <c r="O38" t="s">
        <v>149</v>
      </c>
      <c r="P38" t="s">
        <v>149</v>
      </c>
      <c r="Q38" t="s">
        <v>149</v>
      </c>
      <c r="R38" t="s">
        <v>149</v>
      </c>
      <c r="S38" t="s">
        <v>149</v>
      </c>
      <c r="T38" t="s">
        <v>149</v>
      </c>
      <c r="U38" t="s">
        <v>149</v>
      </c>
      <c r="V38" t="s">
        <v>149</v>
      </c>
      <c r="W38" t="s">
        <v>149</v>
      </c>
      <c r="X38" t="s">
        <v>149</v>
      </c>
      <c r="Y38" t="s">
        <v>149</v>
      </c>
      <c r="Z38" t="s">
        <v>149</v>
      </c>
      <c r="AA38" t="s">
        <v>149</v>
      </c>
      <c r="AB38" t="s">
        <v>149</v>
      </c>
      <c r="AC38" t="s">
        <v>149</v>
      </c>
      <c r="AD38" t="s">
        <v>149</v>
      </c>
      <c r="AE38" t="s">
        <v>149</v>
      </c>
      <c r="AF38" t="s">
        <v>149</v>
      </c>
      <c r="AG38" t="s">
        <v>149</v>
      </c>
      <c r="AH38" t="s">
        <v>149</v>
      </c>
      <c r="AI38" t="s">
        <v>149</v>
      </c>
      <c r="AJ38" t="s">
        <v>149</v>
      </c>
      <c r="AK38" t="s">
        <v>149</v>
      </c>
      <c r="AL38" t="s">
        <v>149</v>
      </c>
      <c r="AM38" t="s">
        <v>149</v>
      </c>
      <c r="AN38" t="s">
        <v>149</v>
      </c>
      <c r="AO38" t="s">
        <v>149</v>
      </c>
      <c r="AP38" t="s">
        <v>149</v>
      </c>
      <c r="AQ38" t="s">
        <v>149</v>
      </c>
      <c r="AR38" t="s">
        <v>149</v>
      </c>
      <c r="AS38" t="s">
        <v>149</v>
      </c>
      <c r="AT38" t="s">
        <v>149</v>
      </c>
      <c r="AU38" t="s">
        <v>149</v>
      </c>
      <c r="AV38" t="s">
        <v>149</v>
      </c>
      <c r="AW38" t="s">
        <v>149</v>
      </c>
      <c r="AX38" t="s">
        <v>149</v>
      </c>
      <c r="AY38" t="s">
        <v>149</v>
      </c>
      <c r="AZ38" t="s">
        <v>149</v>
      </c>
      <c r="BA38" t="s">
        <v>149</v>
      </c>
      <c r="BB38" t="s">
        <v>149</v>
      </c>
      <c r="BC38" t="s">
        <v>149</v>
      </c>
      <c r="BD38" t="s">
        <v>149</v>
      </c>
      <c r="BE38" t="s">
        <v>149</v>
      </c>
      <c r="BF38" t="s">
        <v>149</v>
      </c>
      <c r="BG38" t="s">
        <v>149</v>
      </c>
      <c r="BH38" t="s">
        <v>149</v>
      </c>
      <c r="BI38" t="s">
        <v>149</v>
      </c>
      <c r="BJ38" t="s">
        <v>149</v>
      </c>
      <c r="BK38" t="s">
        <v>149</v>
      </c>
      <c r="BL38" t="s">
        <v>149</v>
      </c>
      <c r="BM38" t="s">
        <v>149</v>
      </c>
      <c r="BN38" t="s">
        <v>149</v>
      </c>
      <c r="BO38" t="s">
        <v>149</v>
      </c>
      <c r="BP38" t="s">
        <v>149</v>
      </c>
      <c r="BQ38" t="s">
        <v>149</v>
      </c>
      <c r="BR38" t="s">
        <v>149</v>
      </c>
      <c r="BS38" t="s">
        <v>149</v>
      </c>
      <c r="BT38" t="s">
        <v>149</v>
      </c>
      <c r="BU38" t="s">
        <v>149</v>
      </c>
      <c r="BV38" t="s">
        <v>149</v>
      </c>
      <c r="BW38" t="s">
        <v>149</v>
      </c>
      <c r="BX38" t="s">
        <v>149</v>
      </c>
      <c r="BY38" t="s">
        <v>149</v>
      </c>
      <c r="BZ38" t="s">
        <v>149</v>
      </c>
      <c r="CA38" t="s">
        <v>149</v>
      </c>
      <c r="CB38" t="s">
        <v>149</v>
      </c>
      <c r="CC38" t="s">
        <v>149</v>
      </c>
      <c r="CD38" t="s">
        <v>149</v>
      </c>
      <c r="CE38" t="s">
        <v>149</v>
      </c>
      <c r="CF38" t="s">
        <v>149</v>
      </c>
      <c r="CG38" t="s">
        <v>149</v>
      </c>
      <c r="CH38" t="s">
        <v>149</v>
      </c>
      <c r="CI38" t="s">
        <v>149</v>
      </c>
      <c r="CJ38" t="s">
        <v>149</v>
      </c>
      <c r="CK38" t="s">
        <v>149</v>
      </c>
      <c r="CL38" t="s">
        <v>149</v>
      </c>
      <c r="CM38" t="s">
        <v>149</v>
      </c>
      <c r="CN38" t="s">
        <v>149</v>
      </c>
      <c r="CO38" t="s">
        <v>149</v>
      </c>
      <c r="CP38" t="s">
        <v>149</v>
      </c>
      <c r="CQ38" t="s">
        <v>149</v>
      </c>
      <c r="CR38" t="s">
        <v>149</v>
      </c>
      <c r="CS38" t="s">
        <v>149</v>
      </c>
      <c r="CT38" t="s">
        <v>149</v>
      </c>
      <c r="CU38" t="s">
        <v>149</v>
      </c>
      <c r="CV38" t="s">
        <v>149</v>
      </c>
      <c r="CW38" t="s">
        <v>149</v>
      </c>
      <c r="CX38" t="s">
        <v>149</v>
      </c>
      <c r="CY38" t="s">
        <v>149</v>
      </c>
      <c r="CZ38" t="s">
        <v>149</v>
      </c>
      <c r="DA38" t="s">
        <v>149</v>
      </c>
      <c r="DC38" t="s">
        <v>149</v>
      </c>
    </row>
    <row r="39" spans="1:107" x14ac:dyDescent="0.25">
      <c r="A39" t="s">
        <v>149</v>
      </c>
      <c r="B39" t="s">
        <v>149</v>
      </c>
      <c r="C39" t="s">
        <v>149</v>
      </c>
      <c r="D39" t="s">
        <v>149</v>
      </c>
      <c r="E39" t="s">
        <v>149</v>
      </c>
      <c r="F39" t="s">
        <v>149</v>
      </c>
      <c r="G39" t="s">
        <v>149</v>
      </c>
      <c r="H39" t="s">
        <v>149</v>
      </c>
      <c r="I39" t="s">
        <v>149</v>
      </c>
      <c r="J39" t="s">
        <v>149</v>
      </c>
      <c r="K39" t="s">
        <v>149</v>
      </c>
      <c r="L39" t="s">
        <v>149</v>
      </c>
      <c r="M39" t="s">
        <v>149</v>
      </c>
      <c r="N39" t="s">
        <v>149</v>
      </c>
      <c r="O39" t="s">
        <v>149</v>
      </c>
      <c r="P39" t="s">
        <v>149</v>
      </c>
      <c r="Q39" t="s">
        <v>149</v>
      </c>
      <c r="R39" t="s">
        <v>149</v>
      </c>
      <c r="S39" t="s">
        <v>149</v>
      </c>
      <c r="T39" t="s">
        <v>149</v>
      </c>
      <c r="U39" t="s">
        <v>149</v>
      </c>
      <c r="V39" t="s">
        <v>149</v>
      </c>
      <c r="W39" t="s">
        <v>149</v>
      </c>
      <c r="X39" t="s">
        <v>149</v>
      </c>
      <c r="Y39" t="s">
        <v>149</v>
      </c>
      <c r="Z39" t="s">
        <v>149</v>
      </c>
      <c r="AA39" t="s">
        <v>149</v>
      </c>
      <c r="AB39" t="s">
        <v>149</v>
      </c>
      <c r="AC39" t="s">
        <v>149</v>
      </c>
      <c r="AD39" t="s">
        <v>149</v>
      </c>
      <c r="AE39" t="s">
        <v>149</v>
      </c>
      <c r="AF39" t="s">
        <v>149</v>
      </c>
      <c r="AG39" t="s">
        <v>149</v>
      </c>
      <c r="AH39" t="s">
        <v>149</v>
      </c>
      <c r="AI39" t="s">
        <v>149</v>
      </c>
      <c r="AJ39" t="s">
        <v>149</v>
      </c>
      <c r="AK39" t="s">
        <v>149</v>
      </c>
      <c r="AL39" t="s">
        <v>149</v>
      </c>
      <c r="AM39" t="s">
        <v>149</v>
      </c>
      <c r="AN39" t="s">
        <v>149</v>
      </c>
      <c r="AO39" t="s">
        <v>149</v>
      </c>
      <c r="AP39" t="s">
        <v>149</v>
      </c>
      <c r="AQ39" t="s">
        <v>149</v>
      </c>
      <c r="AR39" t="s">
        <v>149</v>
      </c>
      <c r="AS39" t="s">
        <v>149</v>
      </c>
      <c r="AT39" t="s">
        <v>149</v>
      </c>
      <c r="AU39" t="s">
        <v>149</v>
      </c>
      <c r="AV39" t="s">
        <v>149</v>
      </c>
      <c r="AW39" t="s">
        <v>149</v>
      </c>
      <c r="AX39" t="s">
        <v>149</v>
      </c>
      <c r="AY39" t="s">
        <v>149</v>
      </c>
      <c r="AZ39" t="s">
        <v>149</v>
      </c>
      <c r="BA39" t="s">
        <v>149</v>
      </c>
      <c r="BB39" t="s">
        <v>149</v>
      </c>
      <c r="BC39" t="s">
        <v>149</v>
      </c>
      <c r="BD39" t="s">
        <v>149</v>
      </c>
      <c r="BE39" t="s">
        <v>149</v>
      </c>
      <c r="BF39" t="s">
        <v>149</v>
      </c>
      <c r="BG39" t="s">
        <v>149</v>
      </c>
      <c r="BH39" t="s">
        <v>149</v>
      </c>
      <c r="BI39" t="s">
        <v>149</v>
      </c>
      <c r="BJ39" t="s">
        <v>149</v>
      </c>
      <c r="BK39" t="s">
        <v>149</v>
      </c>
      <c r="BL39" t="s">
        <v>149</v>
      </c>
      <c r="BM39" t="s">
        <v>149</v>
      </c>
      <c r="BN39" t="s">
        <v>149</v>
      </c>
      <c r="BO39" t="s">
        <v>149</v>
      </c>
      <c r="BP39" t="s">
        <v>149</v>
      </c>
      <c r="BQ39" t="s">
        <v>149</v>
      </c>
      <c r="BR39" t="s">
        <v>149</v>
      </c>
      <c r="BS39" t="s">
        <v>149</v>
      </c>
      <c r="BT39" t="s">
        <v>149</v>
      </c>
      <c r="BU39" t="s">
        <v>149</v>
      </c>
      <c r="BV39" t="s">
        <v>149</v>
      </c>
      <c r="BW39" t="s">
        <v>149</v>
      </c>
      <c r="BX39" t="s">
        <v>149</v>
      </c>
      <c r="BY39" t="s">
        <v>149</v>
      </c>
      <c r="BZ39" t="s">
        <v>149</v>
      </c>
      <c r="CA39" t="s">
        <v>149</v>
      </c>
      <c r="CB39" t="s">
        <v>149</v>
      </c>
      <c r="CC39" t="s">
        <v>149</v>
      </c>
      <c r="CD39" t="s">
        <v>149</v>
      </c>
      <c r="CE39" t="s">
        <v>149</v>
      </c>
      <c r="CF39" t="s">
        <v>149</v>
      </c>
      <c r="CG39" t="s">
        <v>149</v>
      </c>
      <c r="CH39" t="s">
        <v>149</v>
      </c>
      <c r="CI39" t="s">
        <v>149</v>
      </c>
      <c r="CJ39" t="s">
        <v>149</v>
      </c>
      <c r="CK39" t="s">
        <v>149</v>
      </c>
      <c r="CL39" t="s">
        <v>149</v>
      </c>
      <c r="CM39" t="s">
        <v>149</v>
      </c>
      <c r="CN39" t="s">
        <v>149</v>
      </c>
      <c r="CO39" t="s">
        <v>149</v>
      </c>
      <c r="CP39" t="s">
        <v>149</v>
      </c>
      <c r="CQ39" t="s">
        <v>149</v>
      </c>
      <c r="CR39" t="s">
        <v>149</v>
      </c>
      <c r="CS39" t="s">
        <v>149</v>
      </c>
      <c r="CT39" t="s">
        <v>149</v>
      </c>
      <c r="CU39" t="s">
        <v>149</v>
      </c>
      <c r="CV39" t="s">
        <v>149</v>
      </c>
      <c r="CW39" t="s">
        <v>149</v>
      </c>
      <c r="CX39" t="s">
        <v>149</v>
      </c>
      <c r="CY39" t="s">
        <v>149</v>
      </c>
      <c r="CZ39" t="s">
        <v>149</v>
      </c>
      <c r="DA39" t="s">
        <v>149</v>
      </c>
      <c r="DC39" t="s">
        <v>149</v>
      </c>
    </row>
    <row r="40" spans="1:107" x14ac:dyDescent="0.25">
      <c r="A40" t="s">
        <v>149</v>
      </c>
      <c r="B40" t="s">
        <v>149</v>
      </c>
      <c r="C40" t="s">
        <v>149</v>
      </c>
      <c r="D40" t="s">
        <v>149</v>
      </c>
      <c r="E40" t="s">
        <v>149</v>
      </c>
      <c r="F40" t="s">
        <v>149</v>
      </c>
      <c r="G40" t="s">
        <v>149</v>
      </c>
      <c r="H40" t="s">
        <v>149</v>
      </c>
      <c r="I40" t="s">
        <v>149</v>
      </c>
      <c r="J40" t="s">
        <v>149</v>
      </c>
      <c r="K40" t="s">
        <v>149</v>
      </c>
      <c r="L40" t="s">
        <v>149</v>
      </c>
      <c r="M40" t="s">
        <v>149</v>
      </c>
      <c r="N40" t="s">
        <v>149</v>
      </c>
      <c r="O40" t="s">
        <v>149</v>
      </c>
      <c r="P40" t="s">
        <v>149</v>
      </c>
      <c r="Q40" t="s">
        <v>149</v>
      </c>
      <c r="R40" t="s">
        <v>149</v>
      </c>
      <c r="S40" t="s">
        <v>149</v>
      </c>
      <c r="T40" t="s">
        <v>149</v>
      </c>
      <c r="U40" t="s">
        <v>149</v>
      </c>
      <c r="V40" t="s">
        <v>149</v>
      </c>
      <c r="W40" t="s">
        <v>149</v>
      </c>
      <c r="X40" t="s">
        <v>149</v>
      </c>
      <c r="Y40" t="s">
        <v>149</v>
      </c>
      <c r="Z40" t="s">
        <v>149</v>
      </c>
      <c r="AA40" t="s">
        <v>149</v>
      </c>
      <c r="AB40" t="s">
        <v>149</v>
      </c>
      <c r="AC40" t="s">
        <v>149</v>
      </c>
      <c r="AD40" t="s">
        <v>149</v>
      </c>
      <c r="AE40" t="s">
        <v>149</v>
      </c>
      <c r="AF40" t="s">
        <v>149</v>
      </c>
      <c r="AG40" t="s">
        <v>149</v>
      </c>
      <c r="AH40" t="s">
        <v>149</v>
      </c>
      <c r="AI40" t="s">
        <v>149</v>
      </c>
      <c r="AJ40" t="s">
        <v>149</v>
      </c>
      <c r="AK40" t="s">
        <v>149</v>
      </c>
      <c r="AL40" t="s">
        <v>149</v>
      </c>
      <c r="AM40" t="s">
        <v>149</v>
      </c>
      <c r="AN40" t="s">
        <v>149</v>
      </c>
      <c r="AO40" t="s">
        <v>149</v>
      </c>
      <c r="AP40" t="s">
        <v>149</v>
      </c>
      <c r="AQ40" t="s">
        <v>149</v>
      </c>
      <c r="AR40" t="s">
        <v>149</v>
      </c>
      <c r="AS40" t="s">
        <v>149</v>
      </c>
      <c r="AT40" t="s">
        <v>149</v>
      </c>
      <c r="AU40" t="s">
        <v>149</v>
      </c>
      <c r="AV40" t="s">
        <v>149</v>
      </c>
      <c r="AW40" t="s">
        <v>149</v>
      </c>
      <c r="AX40" t="s">
        <v>149</v>
      </c>
      <c r="AY40" t="s">
        <v>149</v>
      </c>
      <c r="AZ40" t="s">
        <v>149</v>
      </c>
      <c r="BA40" t="s">
        <v>149</v>
      </c>
      <c r="BB40" t="s">
        <v>149</v>
      </c>
      <c r="BC40" t="s">
        <v>149</v>
      </c>
      <c r="BD40" t="s">
        <v>149</v>
      </c>
      <c r="BE40" t="s">
        <v>149</v>
      </c>
      <c r="BF40" t="s">
        <v>149</v>
      </c>
      <c r="BG40" t="s">
        <v>149</v>
      </c>
      <c r="BH40" t="s">
        <v>149</v>
      </c>
      <c r="BI40" t="s">
        <v>149</v>
      </c>
      <c r="BJ40" t="s">
        <v>149</v>
      </c>
      <c r="BK40" t="s">
        <v>149</v>
      </c>
      <c r="BL40" t="s">
        <v>149</v>
      </c>
      <c r="BM40" t="s">
        <v>149</v>
      </c>
      <c r="BN40" t="s">
        <v>149</v>
      </c>
      <c r="BO40" t="s">
        <v>149</v>
      </c>
      <c r="BP40" t="s">
        <v>149</v>
      </c>
      <c r="BQ40" t="s">
        <v>149</v>
      </c>
      <c r="BR40" t="s">
        <v>149</v>
      </c>
      <c r="BS40" t="s">
        <v>149</v>
      </c>
      <c r="BT40" t="s">
        <v>149</v>
      </c>
      <c r="BU40" t="s">
        <v>149</v>
      </c>
      <c r="BV40" t="s">
        <v>149</v>
      </c>
      <c r="BW40" t="s">
        <v>149</v>
      </c>
      <c r="BX40" t="s">
        <v>149</v>
      </c>
      <c r="BY40" t="s">
        <v>149</v>
      </c>
      <c r="BZ40" t="s">
        <v>149</v>
      </c>
      <c r="CA40" t="s">
        <v>149</v>
      </c>
      <c r="CB40" t="s">
        <v>149</v>
      </c>
      <c r="CC40" t="s">
        <v>149</v>
      </c>
      <c r="CD40" t="s">
        <v>149</v>
      </c>
      <c r="CE40" t="s">
        <v>149</v>
      </c>
      <c r="CF40" t="s">
        <v>149</v>
      </c>
      <c r="CG40" t="s">
        <v>149</v>
      </c>
      <c r="CH40" t="s">
        <v>149</v>
      </c>
      <c r="CI40" t="s">
        <v>149</v>
      </c>
      <c r="CJ40" t="s">
        <v>149</v>
      </c>
      <c r="CK40" t="s">
        <v>149</v>
      </c>
      <c r="CL40" t="s">
        <v>149</v>
      </c>
      <c r="CM40" t="s">
        <v>149</v>
      </c>
      <c r="CN40" t="s">
        <v>149</v>
      </c>
      <c r="CO40" t="s">
        <v>149</v>
      </c>
      <c r="CP40" t="s">
        <v>149</v>
      </c>
      <c r="CQ40" t="s">
        <v>149</v>
      </c>
      <c r="CR40" t="s">
        <v>149</v>
      </c>
      <c r="CS40" t="s">
        <v>149</v>
      </c>
      <c r="CT40" t="s">
        <v>149</v>
      </c>
      <c r="CU40" t="s">
        <v>149</v>
      </c>
      <c r="CV40" t="s">
        <v>149</v>
      </c>
      <c r="CW40" t="s">
        <v>149</v>
      </c>
      <c r="CX40" t="s">
        <v>149</v>
      </c>
      <c r="CY40" t="s">
        <v>149</v>
      </c>
      <c r="CZ40" t="s">
        <v>149</v>
      </c>
      <c r="DA40" t="s">
        <v>149</v>
      </c>
      <c r="DC40" t="s">
        <v>149</v>
      </c>
    </row>
    <row r="43" spans="1:107" x14ac:dyDescent="0.25">
      <c r="A43" s="2" t="s">
        <v>17</v>
      </c>
      <c r="B43" t="s">
        <v>8</v>
      </c>
      <c r="E43" s="46" t="e">
        <f>IF(ISNUMBER(FIND("R",$B$17)),(E17-E1)^2,(E18-E1)^2)</f>
        <v>#VALUE!</v>
      </c>
      <c r="F43" s="46" t="e">
        <f t="shared" ref="F43:BQ43" si="0">IF(ISNUMBER(FIND("R",$B$17)),(F17-F1)^2,(F18-F1)^2)</f>
        <v>#VALUE!</v>
      </c>
      <c r="G43" s="46" t="e">
        <f t="shared" si="0"/>
        <v>#VALUE!</v>
      </c>
      <c r="H43" s="46" t="e">
        <f t="shared" si="0"/>
        <v>#VALUE!</v>
      </c>
      <c r="I43" s="46" t="e">
        <f t="shared" si="0"/>
        <v>#VALUE!</v>
      </c>
      <c r="J43" s="46" t="e">
        <f t="shared" si="0"/>
        <v>#VALUE!</v>
      </c>
      <c r="K43" s="46" t="e">
        <f t="shared" si="0"/>
        <v>#VALUE!</v>
      </c>
      <c r="L43" s="46" t="e">
        <f t="shared" si="0"/>
        <v>#VALUE!</v>
      </c>
      <c r="M43" s="46" t="e">
        <f t="shared" si="0"/>
        <v>#VALUE!</v>
      </c>
      <c r="N43" s="46" t="e">
        <f t="shared" si="0"/>
        <v>#VALUE!</v>
      </c>
      <c r="O43" s="46" t="e">
        <f t="shared" si="0"/>
        <v>#VALUE!</v>
      </c>
      <c r="P43" s="46" t="e">
        <f t="shared" si="0"/>
        <v>#VALUE!</v>
      </c>
      <c r="Q43" s="46" t="e">
        <f t="shared" si="0"/>
        <v>#VALUE!</v>
      </c>
      <c r="R43" s="46" t="e">
        <f t="shared" si="0"/>
        <v>#VALUE!</v>
      </c>
      <c r="S43" s="46" t="e">
        <f t="shared" si="0"/>
        <v>#VALUE!</v>
      </c>
      <c r="T43" s="46" t="e">
        <f t="shared" si="0"/>
        <v>#VALUE!</v>
      </c>
      <c r="U43" s="46" t="e">
        <f t="shared" si="0"/>
        <v>#VALUE!</v>
      </c>
      <c r="V43" s="46" t="e">
        <f t="shared" si="0"/>
        <v>#VALUE!</v>
      </c>
      <c r="W43" s="46" t="e">
        <f t="shared" si="0"/>
        <v>#VALUE!</v>
      </c>
      <c r="X43" s="46" t="e">
        <f t="shared" si="0"/>
        <v>#VALUE!</v>
      </c>
      <c r="Y43" s="46" t="e">
        <f t="shared" si="0"/>
        <v>#VALUE!</v>
      </c>
      <c r="Z43" s="46" t="e">
        <f t="shared" si="0"/>
        <v>#VALUE!</v>
      </c>
      <c r="AA43" s="46" t="e">
        <f t="shared" si="0"/>
        <v>#VALUE!</v>
      </c>
      <c r="AB43" s="46" t="e">
        <f t="shared" si="0"/>
        <v>#VALUE!</v>
      </c>
      <c r="AC43" s="46" t="e">
        <f t="shared" si="0"/>
        <v>#VALUE!</v>
      </c>
      <c r="AD43" s="46" t="e">
        <f t="shared" si="0"/>
        <v>#VALUE!</v>
      </c>
      <c r="AE43" s="46" t="e">
        <f t="shared" si="0"/>
        <v>#VALUE!</v>
      </c>
      <c r="AF43" s="46" t="e">
        <f t="shared" si="0"/>
        <v>#VALUE!</v>
      </c>
      <c r="AG43" s="46" t="e">
        <f t="shared" si="0"/>
        <v>#VALUE!</v>
      </c>
      <c r="AH43" s="46" t="e">
        <f t="shared" si="0"/>
        <v>#VALUE!</v>
      </c>
      <c r="AI43" s="46" t="e">
        <f t="shared" si="0"/>
        <v>#VALUE!</v>
      </c>
      <c r="AJ43" s="46" t="e">
        <f t="shared" si="0"/>
        <v>#VALUE!</v>
      </c>
      <c r="AK43" s="46" t="e">
        <f t="shared" si="0"/>
        <v>#VALUE!</v>
      </c>
      <c r="AL43" s="46" t="e">
        <f t="shared" si="0"/>
        <v>#VALUE!</v>
      </c>
      <c r="AM43" s="46" t="e">
        <f t="shared" si="0"/>
        <v>#VALUE!</v>
      </c>
      <c r="AN43" s="46" t="e">
        <f t="shared" si="0"/>
        <v>#VALUE!</v>
      </c>
      <c r="AO43" s="46" t="e">
        <f t="shared" si="0"/>
        <v>#VALUE!</v>
      </c>
      <c r="AP43" s="46" t="e">
        <f t="shared" si="0"/>
        <v>#VALUE!</v>
      </c>
      <c r="AQ43" s="46" t="e">
        <f t="shared" si="0"/>
        <v>#VALUE!</v>
      </c>
      <c r="AR43" s="46" t="e">
        <f t="shared" si="0"/>
        <v>#VALUE!</v>
      </c>
      <c r="AS43" s="46" t="e">
        <f t="shared" si="0"/>
        <v>#VALUE!</v>
      </c>
      <c r="AT43" s="46" t="e">
        <f t="shared" si="0"/>
        <v>#VALUE!</v>
      </c>
      <c r="AU43" s="46" t="e">
        <f t="shared" si="0"/>
        <v>#VALUE!</v>
      </c>
      <c r="AV43" s="46" t="e">
        <f t="shared" si="0"/>
        <v>#VALUE!</v>
      </c>
      <c r="AW43" s="46" t="e">
        <f t="shared" si="0"/>
        <v>#VALUE!</v>
      </c>
      <c r="AX43" s="46" t="e">
        <f t="shared" si="0"/>
        <v>#VALUE!</v>
      </c>
      <c r="AY43" s="46" t="e">
        <f t="shared" si="0"/>
        <v>#VALUE!</v>
      </c>
      <c r="AZ43" s="46" t="e">
        <f t="shared" si="0"/>
        <v>#VALUE!</v>
      </c>
      <c r="BA43" s="46" t="e">
        <f t="shared" si="0"/>
        <v>#VALUE!</v>
      </c>
      <c r="BB43" s="46" t="e">
        <f t="shared" si="0"/>
        <v>#VALUE!</v>
      </c>
      <c r="BC43" s="46" t="e">
        <f t="shared" si="0"/>
        <v>#VALUE!</v>
      </c>
      <c r="BD43" s="46" t="e">
        <f t="shared" si="0"/>
        <v>#VALUE!</v>
      </c>
      <c r="BE43" s="46" t="e">
        <f t="shared" si="0"/>
        <v>#VALUE!</v>
      </c>
      <c r="BF43" s="46" t="e">
        <f t="shared" si="0"/>
        <v>#VALUE!</v>
      </c>
      <c r="BG43" s="46" t="e">
        <f t="shared" si="0"/>
        <v>#VALUE!</v>
      </c>
      <c r="BH43" s="46" t="e">
        <f t="shared" si="0"/>
        <v>#VALUE!</v>
      </c>
      <c r="BI43" s="46" t="e">
        <f t="shared" si="0"/>
        <v>#VALUE!</v>
      </c>
      <c r="BJ43" s="46" t="e">
        <f t="shared" si="0"/>
        <v>#VALUE!</v>
      </c>
      <c r="BK43" s="46" t="e">
        <f t="shared" si="0"/>
        <v>#VALUE!</v>
      </c>
      <c r="BL43" s="46" t="e">
        <f t="shared" si="0"/>
        <v>#VALUE!</v>
      </c>
      <c r="BM43" s="46" t="e">
        <f t="shared" si="0"/>
        <v>#VALUE!</v>
      </c>
      <c r="BN43" s="46" t="e">
        <f t="shared" si="0"/>
        <v>#VALUE!</v>
      </c>
      <c r="BO43" s="46" t="e">
        <f t="shared" si="0"/>
        <v>#VALUE!</v>
      </c>
      <c r="BP43" s="46" t="e">
        <f t="shared" si="0"/>
        <v>#VALUE!</v>
      </c>
      <c r="BQ43" s="46" t="e">
        <f t="shared" si="0"/>
        <v>#VALUE!</v>
      </c>
      <c r="BR43" s="46" t="e">
        <f t="shared" ref="BR43:DA43" si="1">IF(ISNUMBER(FIND("R",$B$17)),(BR17-BR1)^2,(BR18-BR1)^2)</f>
        <v>#VALUE!</v>
      </c>
      <c r="BS43" s="46" t="e">
        <f t="shared" si="1"/>
        <v>#VALUE!</v>
      </c>
      <c r="BT43" s="46" t="e">
        <f t="shared" si="1"/>
        <v>#VALUE!</v>
      </c>
      <c r="BU43" s="46" t="e">
        <f t="shared" si="1"/>
        <v>#VALUE!</v>
      </c>
      <c r="BV43" s="46" t="e">
        <f t="shared" si="1"/>
        <v>#VALUE!</v>
      </c>
      <c r="BW43" s="46" t="e">
        <f t="shared" si="1"/>
        <v>#VALUE!</v>
      </c>
      <c r="BX43" s="46" t="e">
        <f t="shared" si="1"/>
        <v>#VALUE!</v>
      </c>
      <c r="BY43" s="46" t="e">
        <f t="shared" si="1"/>
        <v>#VALUE!</v>
      </c>
      <c r="BZ43" s="46" t="e">
        <f t="shared" si="1"/>
        <v>#VALUE!</v>
      </c>
      <c r="CA43" s="46" t="e">
        <f t="shared" si="1"/>
        <v>#VALUE!</v>
      </c>
      <c r="CB43" s="46" t="e">
        <f t="shared" si="1"/>
        <v>#VALUE!</v>
      </c>
      <c r="CC43" s="46" t="e">
        <f t="shared" si="1"/>
        <v>#VALUE!</v>
      </c>
      <c r="CD43" s="46" t="e">
        <f t="shared" si="1"/>
        <v>#VALUE!</v>
      </c>
      <c r="CE43" s="46" t="e">
        <f t="shared" si="1"/>
        <v>#VALUE!</v>
      </c>
      <c r="CF43" s="46" t="e">
        <f t="shared" si="1"/>
        <v>#VALUE!</v>
      </c>
      <c r="CG43" s="46" t="e">
        <f t="shared" si="1"/>
        <v>#VALUE!</v>
      </c>
      <c r="CH43" s="46" t="e">
        <f t="shared" si="1"/>
        <v>#VALUE!</v>
      </c>
      <c r="CI43" s="46" t="e">
        <f t="shared" si="1"/>
        <v>#VALUE!</v>
      </c>
      <c r="CJ43" s="46" t="e">
        <f t="shared" si="1"/>
        <v>#VALUE!</v>
      </c>
      <c r="CK43" s="46" t="e">
        <f t="shared" si="1"/>
        <v>#VALUE!</v>
      </c>
      <c r="CL43" s="46" t="e">
        <f t="shared" si="1"/>
        <v>#VALUE!</v>
      </c>
      <c r="CM43" s="46" t="e">
        <f t="shared" si="1"/>
        <v>#VALUE!</v>
      </c>
      <c r="CN43" s="46" t="e">
        <f t="shared" si="1"/>
        <v>#VALUE!</v>
      </c>
      <c r="CO43" s="46" t="e">
        <f t="shared" si="1"/>
        <v>#VALUE!</v>
      </c>
      <c r="CP43" s="46" t="e">
        <f t="shared" si="1"/>
        <v>#VALUE!</v>
      </c>
      <c r="CQ43" s="46" t="e">
        <f t="shared" si="1"/>
        <v>#VALUE!</v>
      </c>
      <c r="CR43" s="46" t="e">
        <f t="shared" si="1"/>
        <v>#VALUE!</v>
      </c>
      <c r="CS43" s="46" t="e">
        <f t="shared" si="1"/>
        <v>#VALUE!</v>
      </c>
      <c r="CT43" s="46" t="e">
        <f t="shared" si="1"/>
        <v>#VALUE!</v>
      </c>
      <c r="CU43" s="46" t="e">
        <f t="shared" si="1"/>
        <v>#VALUE!</v>
      </c>
      <c r="CV43" s="46" t="e">
        <f t="shared" si="1"/>
        <v>#VALUE!</v>
      </c>
      <c r="CW43" s="46" t="e">
        <f t="shared" si="1"/>
        <v>#VALUE!</v>
      </c>
      <c r="CX43" s="46" t="e">
        <f t="shared" si="1"/>
        <v>#VALUE!</v>
      </c>
      <c r="CY43" s="46" t="e">
        <f t="shared" si="1"/>
        <v>#VALUE!</v>
      </c>
      <c r="CZ43" s="46" t="e">
        <f t="shared" si="1"/>
        <v>#VALUE!</v>
      </c>
      <c r="DA43" s="46" t="e">
        <f t="shared" si="1"/>
        <v>#VALUE!</v>
      </c>
    </row>
    <row r="44" spans="1:107" x14ac:dyDescent="0.25">
      <c r="B44" t="s">
        <v>7</v>
      </c>
      <c r="E44" s="46" t="e">
        <f>IF(ISNUMBER(FIND("R",$B$17)),(E18-E1)^2,(E17-E1)^2)</f>
        <v>#VALUE!</v>
      </c>
      <c r="F44" s="46" t="e">
        <f t="shared" ref="F44:BQ44" si="2">IF(ISNUMBER(FIND("R",$B$17)),(F18-F1)^2,(F17-F1)^2)</f>
        <v>#VALUE!</v>
      </c>
      <c r="G44" s="46" t="e">
        <f t="shared" si="2"/>
        <v>#VALUE!</v>
      </c>
      <c r="H44" s="46" t="e">
        <f t="shared" si="2"/>
        <v>#VALUE!</v>
      </c>
      <c r="I44" s="46" t="e">
        <f t="shared" si="2"/>
        <v>#VALUE!</v>
      </c>
      <c r="J44" s="46" t="e">
        <f t="shared" si="2"/>
        <v>#VALUE!</v>
      </c>
      <c r="K44" s="46" t="e">
        <f t="shared" si="2"/>
        <v>#VALUE!</v>
      </c>
      <c r="L44" s="46" t="e">
        <f t="shared" si="2"/>
        <v>#VALUE!</v>
      </c>
      <c r="M44" s="46" t="e">
        <f t="shared" si="2"/>
        <v>#VALUE!</v>
      </c>
      <c r="N44" s="46" t="e">
        <f t="shared" si="2"/>
        <v>#VALUE!</v>
      </c>
      <c r="O44" s="46" t="e">
        <f t="shared" si="2"/>
        <v>#VALUE!</v>
      </c>
      <c r="P44" s="46" t="e">
        <f t="shared" si="2"/>
        <v>#VALUE!</v>
      </c>
      <c r="Q44" s="46" t="e">
        <f t="shared" si="2"/>
        <v>#VALUE!</v>
      </c>
      <c r="R44" s="46" t="e">
        <f t="shared" si="2"/>
        <v>#VALUE!</v>
      </c>
      <c r="S44" s="46" t="e">
        <f t="shared" si="2"/>
        <v>#VALUE!</v>
      </c>
      <c r="T44" s="46" t="e">
        <f t="shared" si="2"/>
        <v>#VALUE!</v>
      </c>
      <c r="U44" s="46" t="e">
        <f t="shared" si="2"/>
        <v>#VALUE!</v>
      </c>
      <c r="V44" s="46" t="e">
        <f t="shared" si="2"/>
        <v>#VALUE!</v>
      </c>
      <c r="W44" s="46" t="e">
        <f t="shared" si="2"/>
        <v>#VALUE!</v>
      </c>
      <c r="X44" s="46" t="e">
        <f t="shared" si="2"/>
        <v>#VALUE!</v>
      </c>
      <c r="Y44" s="46" t="e">
        <f t="shared" si="2"/>
        <v>#VALUE!</v>
      </c>
      <c r="Z44" s="46" t="e">
        <f t="shared" si="2"/>
        <v>#VALUE!</v>
      </c>
      <c r="AA44" s="46" t="e">
        <f t="shared" si="2"/>
        <v>#VALUE!</v>
      </c>
      <c r="AB44" s="46" t="e">
        <f t="shared" si="2"/>
        <v>#VALUE!</v>
      </c>
      <c r="AC44" s="46" t="e">
        <f t="shared" si="2"/>
        <v>#VALUE!</v>
      </c>
      <c r="AD44" s="46" t="e">
        <f t="shared" si="2"/>
        <v>#VALUE!</v>
      </c>
      <c r="AE44" s="46" t="e">
        <f t="shared" si="2"/>
        <v>#VALUE!</v>
      </c>
      <c r="AF44" s="46" t="e">
        <f t="shared" si="2"/>
        <v>#VALUE!</v>
      </c>
      <c r="AG44" s="46" t="e">
        <f t="shared" si="2"/>
        <v>#VALUE!</v>
      </c>
      <c r="AH44" s="46" t="e">
        <f t="shared" si="2"/>
        <v>#VALUE!</v>
      </c>
      <c r="AI44" s="46" t="e">
        <f t="shared" si="2"/>
        <v>#VALUE!</v>
      </c>
      <c r="AJ44" s="46" t="e">
        <f t="shared" si="2"/>
        <v>#VALUE!</v>
      </c>
      <c r="AK44" s="46" t="e">
        <f t="shared" si="2"/>
        <v>#VALUE!</v>
      </c>
      <c r="AL44" s="46" t="e">
        <f t="shared" si="2"/>
        <v>#VALUE!</v>
      </c>
      <c r="AM44" s="46" t="e">
        <f t="shared" si="2"/>
        <v>#VALUE!</v>
      </c>
      <c r="AN44" s="46" t="e">
        <f t="shared" si="2"/>
        <v>#VALUE!</v>
      </c>
      <c r="AO44" s="46" t="e">
        <f t="shared" si="2"/>
        <v>#VALUE!</v>
      </c>
      <c r="AP44" s="46" t="e">
        <f t="shared" si="2"/>
        <v>#VALUE!</v>
      </c>
      <c r="AQ44" s="46" t="e">
        <f t="shared" si="2"/>
        <v>#VALUE!</v>
      </c>
      <c r="AR44" s="46" t="e">
        <f t="shared" si="2"/>
        <v>#VALUE!</v>
      </c>
      <c r="AS44" s="46" t="e">
        <f t="shared" si="2"/>
        <v>#VALUE!</v>
      </c>
      <c r="AT44" s="46" t="e">
        <f t="shared" si="2"/>
        <v>#VALUE!</v>
      </c>
      <c r="AU44" s="46" t="e">
        <f t="shared" si="2"/>
        <v>#VALUE!</v>
      </c>
      <c r="AV44" s="46" t="e">
        <f t="shared" si="2"/>
        <v>#VALUE!</v>
      </c>
      <c r="AW44" s="46" t="e">
        <f t="shared" si="2"/>
        <v>#VALUE!</v>
      </c>
      <c r="AX44" s="46" t="e">
        <f t="shared" si="2"/>
        <v>#VALUE!</v>
      </c>
      <c r="AY44" s="46" t="e">
        <f t="shared" si="2"/>
        <v>#VALUE!</v>
      </c>
      <c r="AZ44" s="46" t="e">
        <f t="shared" si="2"/>
        <v>#VALUE!</v>
      </c>
      <c r="BA44" s="46" t="e">
        <f t="shared" si="2"/>
        <v>#VALUE!</v>
      </c>
      <c r="BB44" s="46" t="e">
        <f t="shared" si="2"/>
        <v>#VALUE!</v>
      </c>
      <c r="BC44" s="46" t="e">
        <f t="shared" si="2"/>
        <v>#VALUE!</v>
      </c>
      <c r="BD44" s="46" t="e">
        <f t="shared" si="2"/>
        <v>#VALUE!</v>
      </c>
      <c r="BE44" s="46" t="e">
        <f t="shared" si="2"/>
        <v>#VALUE!</v>
      </c>
      <c r="BF44" s="46" t="e">
        <f t="shared" si="2"/>
        <v>#VALUE!</v>
      </c>
      <c r="BG44" s="46" t="e">
        <f t="shared" si="2"/>
        <v>#VALUE!</v>
      </c>
      <c r="BH44" s="46" t="e">
        <f t="shared" si="2"/>
        <v>#VALUE!</v>
      </c>
      <c r="BI44" s="46" t="e">
        <f t="shared" si="2"/>
        <v>#VALUE!</v>
      </c>
      <c r="BJ44" s="46" t="e">
        <f t="shared" si="2"/>
        <v>#VALUE!</v>
      </c>
      <c r="BK44" s="46" t="e">
        <f t="shared" si="2"/>
        <v>#VALUE!</v>
      </c>
      <c r="BL44" s="46" t="e">
        <f t="shared" si="2"/>
        <v>#VALUE!</v>
      </c>
      <c r="BM44" s="46" t="e">
        <f t="shared" si="2"/>
        <v>#VALUE!</v>
      </c>
      <c r="BN44" s="46" t="e">
        <f t="shared" si="2"/>
        <v>#VALUE!</v>
      </c>
      <c r="BO44" s="46" t="e">
        <f t="shared" si="2"/>
        <v>#VALUE!</v>
      </c>
      <c r="BP44" s="46" t="e">
        <f t="shared" si="2"/>
        <v>#VALUE!</v>
      </c>
      <c r="BQ44" s="46" t="e">
        <f t="shared" si="2"/>
        <v>#VALUE!</v>
      </c>
      <c r="BR44" s="46" t="e">
        <f t="shared" ref="BR44:DA44" si="3">IF(ISNUMBER(FIND("R",$B$17)),(BR18-BR1)^2,(BR17-BR1)^2)</f>
        <v>#VALUE!</v>
      </c>
      <c r="BS44" s="46" t="e">
        <f t="shared" si="3"/>
        <v>#VALUE!</v>
      </c>
      <c r="BT44" s="46" t="e">
        <f t="shared" si="3"/>
        <v>#VALUE!</v>
      </c>
      <c r="BU44" s="46" t="e">
        <f t="shared" si="3"/>
        <v>#VALUE!</v>
      </c>
      <c r="BV44" s="46" t="e">
        <f t="shared" si="3"/>
        <v>#VALUE!</v>
      </c>
      <c r="BW44" s="46" t="e">
        <f t="shared" si="3"/>
        <v>#VALUE!</v>
      </c>
      <c r="BX44" s="46" t="e">
        <f t="shared" si="3"/>
        <v>#VALUE!</v>
      </c>
      <c r="BY44" s="46" t="e">
        <f t="shared" si="3"/>
        <v>#VALUE!</v>
      </c>
      <c r="BZ44" s="46" t="e">
        <f t="shared" si="3"/>
        <v>#VALUE!</v>
      </c>
      <c r="CA44" s="46" t="e">
        <f t="shared" si="3"/>
        <v>#VALUE!</v>
      </c>
      <c r="CB44" s="46" t="e">
        <f t="shared" si="3"/>
        <v>#VALUE!</v>
      </c>
      <c r="CC44" s="46" t="e">
        <f t="shared" si="3"/>
        <v>#VALUE!</v>
      </c>
      <c r="CD44" s="46" t="e">
        <f t="shared" si="3"/>
        <v>#VALUE!</v>
      </c>
      <c r="CE44" s="46" t="e">
        <f t="shared" si="3"/>
        <v>#VALUE!</v>
      </c>
      <c r="CF44" s="46" t="e">
        <f t="shared" si="3"/>
        <v>#VALUE!</v>
      </c>
      <c r="CG44" s="46" t="e">
        <f t="shared" si="3"/>
        <v>#VALUE!</v>
      </c>
      <c r="CH44" s="46" t="e">
        <f t="shared" si="3"/>
        <v>#VALUE!</v>
      </c>
      <c r="CI44" s="46" t="e">
        <f t="shared" si="3"/>
        <v>#VALUE!</v>
      </c>
      <c r="CJ44" s="46" t="e">
        <f t="shared" si="3"/>
        <v>#VALUE!</v>
      </c>
      <c r="CK44" s="46" t="e">
        <f t="shared" si="3"/>
        <v>#VALUE!</v>
      </c>
      <c r="CL44" s="46" t="e">
        <f t="shared" si="3"/>
        <v>#VALUE!</v>
      </c>
      <c r="CM44" s="46" t="e">
        <f t="shared" si="3"/>
        <v>#VALUE!</v>
      </c>
      <c r="CN44" s="46" t="e">
        <f t="shared" si="3"/>
        <v>#VALUE!</v>
      </c>
      <c r="CO44" s="46" t="e">
        <f t="shared" si="3"/>
        <v>#VALUE!</v>
      </c>
      <c r="CP44" s="46" t="e">
        <f t="shared" si="3"/>
        <v>#VALUE!</v>
      </c>
      <c r="CQ44" s="46" t="e">
        <f t="shared" si="3"/>
        <v>#VALUE!</v>
      </c>
      <c r="CR44" s="46" t="e">
        <f t="shared" si="3"/>
        <v>#VALUE!</v>
      </c>
      <c r="CS44" s="46" t="e">
        <f t="shared" si="3"/>
        <v>#VALUE!</v>
      </c>
      <c r="CT44" s="46" t="e">
        <f t="shared" si="3"/>
        <v>#VALUE!</v>
      </c>
      <c r="CU44" s="46" t="e">
        <f t="shared" si="3"/>
        <v>#VALUE!</v>
      </c>
      <c r="CV44" s="46" t="e">
        <f t="shared" si="3"/>
        <v>#VALUE!</v>
      </c>
      <c r="CW44" s="46" t="e">
        <f t="shared" si="3"/>
        <v>#VALUE!</v>
      </c>
      <c r="CX44" s="46" t="e">
        <f t="shared" si="3"/>
        <v>#VALUE!</v>
      </c>
      <c r="CY44" s="46" t="e">
        <f t="shared" si="3"/>
        <v>#VALUE!</v>
      </c>
      <c r="CZ44" s="46" t="e">
        <f t="shared" si="3"/>
        <v>#VALUE!</v>
      </c>
      <c r="DA44" s="46" t="e">
        <f t="shared" si="3"/>
        <v>#VALUE!</v>
      </c>
    </row>
    <row r="45" spans="1:107" x14ac:dyDescent="0.25">
      <c r="B45" t="s">
        <v>10</v>
      </c>
      <c r="E45" s="46" t="e">
        <f>IF(ISNUMBER(FIND("R",$B$17)),(E19-E2)^2,(E20-E2)^2)</f>
        <v>#VALUE!</v>
      </c>
      <c r="F45" s="46" t="e">
        <f t="shared" ref="F45:BQ45" si="4">IF(ISNUMBER(FIND("R",$B$17)),(F19-F2)^2,(F20-F2)^2)</f>
        <v>#VALUE!</v>
      </c>
      <c r="G45" s="46" t="e">
        <f t="shared" si="4"/>
        <v>#VALUE!</v>
      </c>
      <c r="H45" s="46" t="e">
        <f t="shared" si="4"/>
        <v>#VALUE!</v>
      </c>
      <c r="I45" s="46" t="e">
        <f t="shared" si="4"/>
        <v>#VALUE!</v>
      </c>
      <c r="J45" s="46" t="e">
        <f t="shared" si="4"/>
        <v>#VALUE!</v>
      </c>
      <c r="K45" s="46" t="e">
        <f t="shared" si="4"/>
        <v>#VALUE!</v>
      </c>
      <c r="L45" s="46" t="e">
        <f t="shared" si="4"/>
        <v>#VALUE!</v>
      </c>
      <c r="M45" s="46" t="e">
        <f t="shared" si="4"/>
        <v>#VALUE!</v>
      </c>
      <c r="N45" s="46" t="e">
        <f t="shared" si="4"/>
        <v>#VALUE!</v>
      </c>
      <c r="O45" s="46" t="e">
        <f t="shared" si="4"/>
        <v>#VALUE!</v>
      </c>
      <c r="P45" s="46" t="e">
        <f t="shared" si="4"/>
        <v>#VALUE!</v>
      </c>
      <c r="Q45" s="46" t="e">
        <f t="shared" si="4"/>
        <v>#VALUE!</v>
      </c>
      <c r="R45" s="46" t="e">
        <f t="shared" si="4"/>
        <v>#VALUE!</v>
      </c>
      <c r="S45" s="46" t="e">
        <f t="shared" si="4"/>
        <v>#VALUE!</v>
      </c>
      <c r="T45" s="46" t="e">
        <f t="shared" si="4"/>
        <v>#VALUE!</v>
      </c>
      <c r="U45" s="46" t="e">
        <f t="shared" si="4"/>
        <v>#VALUE!</v>
      </c>
      <c r="V45" s="46" t="e">
        <f t="shared" si="4"/>
        <v>#VALUE!</v>
      </c>
      <c r="W45" s="46" t="e">
        <f t="shared" si="4"/>
        <v>#VALUE!</v>
      </c>
      <c r="X45" s="46" t="e">
        <f t="shared" si="4"/>
        <v>#VALUE!</v>
      </c>
      <c r="Y45" s="46" t="e">
        <f t="shared" si="4"/>
        <v>#VALUE!</v>
      </c>
      <c r="Z45" s="46" t="e">
        <f t="shared" si="4"/>
        <v>#VALUE!</v>
      </c>
      <c r="AA45" s="46" t="e">
        <f t="shared" si="4"/>
        <v>#VALUE!</v>
      </c>
      <c r="AB45" s="46" t="e">
        <f t="shared" si="4"/>
        <v>#VALUE!</v>
      </c>
      <c r="AC45" s="46" t="e">
        <f t="shared" si="4"/>
        <v>#VALUE!</v>
      </c>
      <c r="AD45" s="46" t="e">
        <f t="shared" si="4"/>
        <v>#VALUE!</v>
      </c>
      <c r="AE45" s="46" t="e">
        <f t="shared" si="4"/>
        <v>#VALUE!</v>
      </c>
      <c r="AF45" s="46" t="e">
        <f t="shared" si="4"/>
        <v>#VALUE!</v>
      </c>
      <c r="AG45" s="46" t="e">
        <f t="shared" si="4"/>
        <v>#VALUE!</v>
      </c>
      <c r="AH45" s="46" t="e">
        <f t="shared" si="4"/>
        <v>#VALUE!</v>
      </c>
      <c r="AI45" s="46" t="e">
        <f t="shared" si="4"/>
        <v>#VALUE!</v>
      </c>
      <c r="AJ45" s="46" t="e">
        <f t="shared" si="4"/>
        <v>#VALUE!</v>
      </c>
      <c r="AK45" s="46" t="e">
        <f t="shared" si="4"/>
        <v>#VALUE!</v>
      </c>
      <c r="AL45" s="46" t="e">
        <f t="shared" si="4"/>
        <v>#VALUE!</v>
      </c>
      <c r="AM45" s="46" t="e">
        <f t="shared" si="4"/>
        <v>#VALUE!</v>
      </c>
      <c r="AN45" s="46" t="e">
        <f t="shared" si="4"/>
        <v>#VALUE!</v>
      </c>
      <c r="AO45" s="46" t="e">
        <f t="shared" si="4"/>
        <v>#VALUE!</v>
      </c>
      <c r="AP45" s="46" t="e">
        <f t="shared" si="4"/>
        <v>#VALUE!</v>
      </c>
      <c r="AQ45" s="46" t="e">
        <f t="shared" si="4"/>
        <v>#VALUE!</v>
      </c>
      <c r="AR45" s="46" t="e">
        <f t="shared" si="4"/>
        <v>#VALUE!</v>
      </c>
      <c r="AS45" s="46" t="e">
        <f t="shared" si="4"/>
        <v>#VALUE!</v>
      </c>
      <c r="AT45" s="46" t="e">
        <f t="shared" si="4"/>
        <v>#VALUE!</v>
      </c>
      <c r="AU45" s="46" t="e">
        <f t="shared" si="4"/>
        <v>#VALUE!</v>
      </c>
      <c r="AV45" s="46" t="e">
        <f t="shared" si="4"/>
        <v>#VALUE!</v>
      </c>
      <c r="AW45" s="46" t="e">
        <f t="shared" si="4"/>
        <v>#VALUE!</v>
      </c>
      <c r="AX45" s="46" t="e">
        <f t="shared" si="4"/>
        <v>#VALUE!</v>
      </c>
      <c r="AY45" s="46" t="e">
        <f t="shared" si="4"/>
        <v>#VALUE!</v>
      </c>
      <c r="AZ45" s="46" t="e">
        <f t="shared" si="4"/>
        <v>#VALUE!</v>
      </c>
      <c r="BA45" s="46" t="e">
        <f t="shared" si="4"/>
        <v>#VALUE!</v>
      </c>
      <c r="BB45" s="46" t="e">
        <f t="shared" si="4"/>
        <v>#VALUE!</v>
      </c>
      <c r="BC45" s="46" t="e">
        <f t="shared" si="4"/>
        <v>#VALUE!</v>
      </c>
      <c r="BD45" s="46" t="e">
        <f t="shared" si="4"/>
        <v>#VALUE!</v>
      </c>
      <c r="BE45" s="46" t="e">
        <f t="shared" si="4"/>
        <v>#VALUE!</v>
      </c>
      <c r="BF45" s="46" t="e">
        <f t="shared" si="4"/>
        <v>#VALUE!</v>
      </c>
      <c r="BG45" s="46" t="e">
        <f t="shared" si="4"/>
        <v>#VALUE!</v>
      </c>
      <c r="BH45" s="46" t="e">
        <f t="shared" si="4"/>
        <v>#VALUE!</v>
      </c>
      <c r="BI45" s="46" t="e">
        <f t="shared" si="4"/>
        <v>#VALUE!</v>
      </c>
      <c r="BJ45" s="46" t="e">
        <f t="shared" si="4"/>
        <v>#VALUE!</v>
      </c>
      <c r="BK45" s="46" t="e">
        <f t="shared" si="4"/>
        <v>#VALUE!</v>
      </c>
      <c r="BL45" s="46" t="e">
        <f t="shared" si="4"/>
        <v>#VALUE!</v>
      </c>
      <c r="BM45" s="46" t="e">
        <f t="shared" si="4"/>
        <v>#VALUE!</v>
      </c>
      <c r="BN45" s="46" t="e">
        <f t="shared" si="4"/>
        <v>#VALUE!</v>
      </c>
      <c r="BO45" s="46" t="e">
        <f t="shared" si="4"/>
        <v>#VALUE!</v>
      </c>
      <c r="BP45" s="46" t="e">
        <f t="shared" si="4"/>
        <v>#VALUE!</v>
      </c>
      <c r="BQ45" s="46" t="e">
        <f t="shared" si="4"/>
        <v>#VALUE!</v>
      </c>
      <c r="BR45" s="46" t="e">
        <f t="shared" ref="BR45:DA45" si="5">IF(ISNUMBER(FIND("R",$B$17)),(BR19-BR2)^2,(BR20-BR2)^2)</f>
        <v>#VALUE!</v>
      </c>
      <c r="BS45" s="46" t="e">
        <f t="shared" si="5"/>
        <v>#VALUE!</v>
      </c>
      <c r="BT45" s="46" t="e">
        <f t="shared" si="5"/>
        <v>#VALUE!</v>
      </c>
      <c r="BU45" s="46" t="e">
        <f t="shared" si="5"/>
        <v>#VALUE!</v>
      </c>
      <c r="BV45" s="46" t="e">
        <f t="shared" si="5"/>
        <v>#VALUE!</v>
      </c>
      <c r="BW45" s="46" t="e">
        <f t="shared" si="5"/>
        <v>#VALUE!</v>
      </c>
      <c r="BX45" s="46" t="e">
        <f t="shared" si="5"/>
        <v>#VALUE!</v>
      </c>
      <c r="BY45" s="46" t="e">
        <f t="shared" si="5"/>
        <v>#VALUE!</v>
      </c>
      <c r="BZ45" s="46" t="e">
        <f t="shared" si="5"/>
        <v>#VALUE!</v>
      </c>
      <c r="CA45" s="46" t="e">
        <f t="shared" si="5"/>
        <v>#VALUE!</v>
      </c>
      <c r="CB45" s="46" t="e">
        <f t="shared" si="5"/>
        <v>#VALUE!</v>
      </c>
      <c r="CC45" s="46" t="e">
        <f t="shared" si="5"/>
        <v>#VALUE!</v>
      </c>
      <c r="CD45" s="46" t="e">
        <f t="shared" si="5"/>
        <v>#VALUE!</v>
      </c>
      <c r="CE45" s="46" t="e">
        <f t="shared" si="5"/>
        <v>#VALUE!</v>
      </c>
      <c r="CF45" s="46" t="e">
        <f t="shared" si="5"/>
        <v>#VALUE!</v>
      </c>
      <c r="CG45" s="46" t="e">
        <f t="shared" si="5"/>
        <v>#VALUE!</v>
      </c>
      <c r="CH45" s="46" t="e">
        <f t="shared" si="5"/>
        <v>#VALUE!</v>
      </c>
      <c r="CI45" s="46" t="e">
        <f t="shared" si="5"/>
        <v>#VALUE!</v>
      </c>
      <c r="CJ45" s="46" t="e">
        <f t="shared" si="5"/>
        <v>#VALUE!</v>
      </c>
      <c r="CK45" s="46" t="e">
        <f t="shared" si="5"/>
        <v>#VALUE!</v>
      </c>
      <c r="CL45" s="46" t="e">
        <f t="shared" si="5"/>
        <v>#VALUE!</v>
      </c>
      <c r="CM45" s="46" t="e">
        <f t="shared" si="5"/>
        <v>#VALUE!</v>
      </c>
      <c r="CN45" s="46" t="e">
        <f t="shared" si="5"/>
        <v>#VALUE!</v>
      </c>
      <c r="CO45" s="46" t="e">
        <f t="shared" si="5"/>
        <v>#VALUE!</v>
      </c>
      <c r="CP45" s="46" t="e">
        <f t="shared" si="5"/>
        <v>#VALUE!</v>
      </c>
      <c r="CQ45" s="46" t="e">
        <f t="shared" si="5"/>
        <v>#VALUE!</v>
      </c>
      <c r="CR45" s="46" t="e">
        <f t="shared" si="5"/>
        <v>#VALUE!</v>
      </c>
      <c r="CS45" s="46" t="e">
        <f t="shared" si="5"/>
        <v>#VALUE!</v>
      </c>
      <c r="CT45" s="46" t="e">
        <f t="shared" si="5"/>
        <v>#VALUE!</v>
      </c>
      <c r="CU45" s="46" t="e">
        <f t="shared" si="5"/>
        <v>#VALUE!</v>
      </c>
      <c r="CV45" s="46" t="e">
        <f t="shared" si="5"/>
        <v>#VALUE!</v>
      </c>
      <c r="CW45" s="46" t="e">
        <f t="shared" si="5"/>
        <v>#VALUE!</v>
      </c>
      <c r="CX45" s="46" t="e">
        <f t="shared" si="5"/>
        <v>#VALUE!</v>
      </c>
      <c r="CY45" s="46" t="e">
        <f t="shared" si="5"/>
        <v>#VALUE!</v>
      </c>
      <c r="CZ45" s="46" t="e">
        <f t="shared" si="5"/>
        <v>#VALUE!</v>
      </c>
      <c r="DA45" s="46" t="e">
        <f t="shared" si="5"/>
        <v>#VALUE!</v>
      </c>
    </row>
    <row r="46" spans="1:107" x14ac:dyDescent="0.25">
      <c r="B46" t="s">
        <v>9</v>
      </c>
      <c r="E46" s="46" t="e">
        <f>IF(ISNUMBER(FIND("R",$B$17)),(E20-E2)^2,(E19-E2)^2)</f>
        <v>#VALUE!</v>
      </c>
      <c r="F46" s="46" t="e">
        <f t="shared" ref="F46:BQ46" si="6">IF(ISNUMBER(FIND("R",$B$17)),(F20-F2)^2,(F19-F2)^2)</f>
        <v>#VALUE!</v>
      </c>
      <c r="G46" s="46" t="e">
        <f t="shared" si="6"/>
        <v>#VALUE!</v>
      </c>
      <c r="H46" s="46" t="e">
        <f t="shared" si="6"/>
        <v>#VALUE!</v>
      </c>
      <c r="I46" s="46" t="e">
        <f t="shared" si="6"/>
        <v>#VALUE!</v>
      </c>
      <c r="J46" s="46" t="e">
        <f t="shared" si="6"/>
        <v>#VALUE!</v>
      </c>
      <c r="K46" s="46" t="e">
        <f t="shared" si="6"/>
        <v>#VALUE!</v>
      </c>
      <c r="L46" s="46" t="e">
        <f t="shared" si="6"/>
        <v>#VALUE!</v>
      </c>
      <c r="M46" s="46" t="e">
        <f t="shared" si="6"/>
        <v>#VALUE!</v>
      </c>
      <c r="N46" s="46" t="e">
        <f t="shared" si="6"/>
        <v>#VALUE!</v>
      </c>
      <c r="O46" s="46" t="e">
        <f t="shared" si="6"/>
        <v>#VALUE!</v>
      </c>
      <c r="P46" s="46" t="e">
        <f t="shared" si="6"/>
        <v>#VALUE!</v>
      </c>
      <c r="Q46" s="46" t="e">
        <f t="shared" si="6"/>
        <v>#VALUE!</v>
      </c>
      <c r="R46" s="46" t="e">
        <f t="shared" si="6"/>
        <v>#VALUE!</v>
      </c>
      <c r="S46" s="46" t="e">
        <f t="shared" si="6"/>
        <v>#VALUE!</v>
      </c>
      <c r="T46" s="46" t="e">
        <f t="shared" si="6"/>
        <v>#VALUE!</v>
      </c>
      <c r="U46" s="46" t="e">
        <f t="shared" si="6"/>
        <v>#VALUE!</v>
      </c>
      <c r="V46" s="46" t="e">
        <f t="shared" si="6"/>
        <v>#VALUE!</v>
      </c>
      <c r="W46" s="46" t="e">
        <f t="shared" si="6"/>
        <v>#VALUE!</v>
      </c>
      <c r="X46" s="46" t="e">
        <f t="shared" si="6"/>
        <v>#VALUE!</v>
      </c>
      <c r="Y46" s="46" t="e">
        <f t="shared" si="6"/>
        <v>#VALUE!</v>
      </c>
      <c r="Z46" s="46" t="e">
        <f t="shared" si="6"/>
        <v>#VALUE!</v>
      </c>
      <c r="AA46" s="46" t="e">
        <f t="shared" si="6"/>
        <v>#VALUE!</v>
      </c>
      <c r="AB46" s="46" t="e">
        <f t="shared" si="6"/>
        <v>#VALUE!</v>
      </c>
      <c r="AC46" s="46" t="e">
        <f t="shared" si="6"/>
        <v>#VALUE!</v>
      </c>
      <c r="AD46" s="46" t="e">
        <f t="shared" si="6"/>
        <v>#VALUE!</v>
      </c>
      <c r="AE46" s="46" t="e">
        <f t="shared" si="6"/>
        <v>#VALUE!</v>
      </c>
      <c r="AF46" s="46" t="e">
        <f t="shared" si="6"/>
        <v>#VALUE!</v>
      </c>
      <c r="AG46" s="46" t="e">
        <f t="shared" si="6"/>
        <v>#VALUE!</v>
      </c>
      <c r="AH46" s="46" t="e">
        <f t="shared" si="6"/>
        <v>#VALUE!</v>
      </c>
      <c r="AI46" s="46" t="e">
        <f t="shared" si="6"/>
        <v>#VALUE!</v>
      </c>
      <c r="AJ46" s="46" t="e">
        <f t="shared" si="6"/>
        <v>#VALUE!</v>
      </c>
      <c r="AK46" s="46" t="e">
        <f t="shared" si="6"/>
        <v>#VALUE!</v>
      </c>
      <c r="AL46" s="46" t="e">
        <f t="shared" si="6"/>
        <v>#VALUE!</v>
      </c>
      <c r="AM46" s="46" t="e">
        <f t="shared" si="6"/>
        <v>#VALUE!</v>
      </c>
      <c r="AN46" s="46" t="e">
        <f t="shared" si="6"/>
        <v>#VALUE!</v>
      </c>
      <c r="AO46" s="46" t="e">
        <f t="shared" si="6"/>
        <v>#VALUE!</v>
      </c>
      <c r="AP46" s="46" t="e">
        <f t="shared" si="6"/>
        <v>#VALUE!</v>
      </c>
      <c r="AQ46" s="46" t="e">
        <f t="shared" si="6"/>
        <v>#VALUE!</v>
      </c>
      <c r="AR46" s="46" t="e">
        <f t="shared" si="6"/>
        <v>#VALUE!</v>
      </c>
      <c r="AS46" s="46" t="e">
        <f t="shared" si="6"/>
        <v>#VALUE!</v>
      </c>
      <c r="AT46" s="46" t="e">
        <f t="shared" si="6"/>
        <v>#VALUE!</v>
      </c>
      <c r="AU46" s="46" t="e">
        <f t="shared" si="6"/>
        <v>#VALUE!</v>
      </c>
      <c r="AV46" s="46" t="e">
        <f t="shared" si="6"/>
        <v>#VALUE!</v>
      </c>
      <c r="AW46" s="46" t="e">
        <f t="shared" si="6"/>
        <v>#VALUE!</v>
      </c>
      <c r="AX46" s="46" t="e">
        <f t="shared" si="6"/>
        <v>#VALUE!</v>
      </c>
      <c r="AY46" s="46" t="e">
        <f t="shared" si="6"/>
        <v>#VALUE!</v>
      </c>
      <c r="AZ46" s="46" t="e">
        <f t="shared" si="6"/>
        <v>#VALUE!</v>
      </c>
      <c r="BA46" s="46" t="e">
        <f t="shared" si="6"/>
        <v>#VALUE!</v>
      </c>
      <c r="BB46" s="46" t="e">
        <f t="shared" si="6"/>
        <v>#VALUE!</v>
      </c>
      <c r="BC46" s="46" t="e">
        <f t="shared" si="6"/>
        <v>#VALUE!</v>
      </c>
      <c r="BD46" s="46" t="e">
        <f t="shared" si="6"/>
        <v>#VALUE!</v>
      </c>
      <c r="BE46" s="46" t="e">
        <f t="shared" si="6"/>
        <v>#VALUE!</v>
      </c>
      <c r="BF46" s="46" t="e">
        <f t="shared" si="6"/>
        <v>#VALUE!</v>
      </c>
      <c r="BG46" s="46" t="e">
        <f t="shared" si="6"/>
        <v>#VALUE!</v>
      </c>
      <c r="BH46" s="46" t="e">
        <f t="shared" si="6"/>
        <v>#VALUE!</v>
      </c>
      <c r="BI46" s="46" t="e">
        <f t="shared" si="6"/>
        <v>#VALUE!</v>
      </c>
      <c r="BJ46" s="46" t="e">
        <f t="shared" si="6"/>
        <v>#VALUE!</v>
      </c>
      <c r="BK46" s="46" t="e">
        <f t="shared" si="6"/>
        <v>#VALUE!</v>
      </c>
      <c r="BL46" s="46" t="e">
        <f t="shared" si="6"/>
        <v>#VALUE!</v>
      </c>
      <c r="BM46" s="46" t="e">
        <f t="shared" si="6"/>
        <v>#VALUE!</v>
      </c>
      <c r="BN46" s="46" t="e">
        <f t="shared" si="6"/>
        <v>#VALUE!</v>
      </c>
      <c r="BO46" s="46" t="e">
        <f t="shared" si="6"/>
        <v>#VALUE!</v>
      </c>
      <c r="BP46" s="46" t="e">
        <f t="shared" si="6"/>
        <v>#VALUE!</v>
      </c>
      <c r="BQ46" s="46" t="e">
        <f t="shared" si="6"/>
        <v>#VALUE!</v>
      </c>
      <c r="BR46" s="46" t="e">
        <f t="shared" ref="BR46:DA46" si="7">IF(ISNUMBER(FIND("R",$B$17)),(BR20-BR2)^2,(BR19-BR2)^2)</f>
        <v>#VALUE!</v>
      </c>
      <c r="BS46" s="46" t="e">
        <f t="shared" si="7"/>
        <v>#VALUE!</v>
      </c>
      <c r="BT46" s="46" t="e">
        <f t="shared" si="7"/>
        <v>#VALUE!</v>
      </c>
      <c r="BU46" s="46" t="e">
        <f t="shared" si="7"/>
        <v>#VALUE!</v>
      </c>
      <c r="BV46" s="46" t="e">
        <f t="shared" si="7"/>
        <v>#VALUE!</v>
      </c>
      <c r="BW46" s="46" t="e">
        <f t="shared" si="7"/>
        <v>#VALUE!</v>
      </c>
      <c r="BX46" s="46" t="e">
        <f t="shared" si="7"/>
        <v>#VALUE!</v>
      </c>
      <c r="BY46" s="46" t="e">
        <f t="shared" si="7"/>
        <v>#VALUE!</v>
      </c>
      <c r="BZ46" s="46" t="e">
        <f t="shared" si="7"/>
        <v>#VALUE!</v>
      </c>
      <c r="CA46" s="46" t="e">
        <f t="shared" si="7"/>
        <v>#VALUE!</v>
      </c>
      <c r="CB46" s="46" t="e">
        <f t="shared" si="7"/>
        <v>#VALUE!</v>
      </c>
      <c r="CC46" s="46" t="e">
        <f t="shared" si="7"/>
        <v>#VALUE!</v>
      </c>
      <c r="CD46" s="46" t="e">
        <f t="shared" si="7"/>
        <v>#VALUE!</v>
      </c>
      <c r="CE46" s="46" t="e">
        <f t="shared" si="7"/>
        <v>#VALUE!</v>
      </c>
      <c r="CF46" s="46" t="e">
        <f t="shared" si="7"/>
        <v>#VALUE!</v>
      </c>
      <c r="CG46" s="46" t="e">
        <f t="shared" si="7"/>
        <v>#VALUE!</v>
      </c>
      <c r="CH46" s="46" t="e">
        <f t="shared" si="7"/>
        <v>#VALUE!</v>
      </c>
      <c r="CI46" s="46" t="e">
        <f t="shared" si="7"/>
        <v>#VALUE!</v>
      </c>
      <c r="CJ46" s="46" t="e">
        <f t="shared" si="7"/>
        <v>#VALUE!</v>
      </c>
      <c r="CK46" s="46" t="e">
        <f t="shared" si="7"/>
        <v>#VALUE!</v>
      </c>
      <c r="CL46" s="46" t="e">
        <f t="shared" si="7"/>
        <v>#VALUE!</v>
      </c>
      <c r="CM46" s="46" t="e">
        <f t="shared" si="7"/>
        <v>#VALUE!</v>
      </c>
      <c r="CN46" s="46" t="e">
        <f t="shared" si="7"/>
        <v>#VALUE!</v>
      </c>
      <c r="CO46" s="46" t="e">
        <f t="shared" si="7"/>
        <v>#VALUE!</v>
      </c>
      <c r="CP46" s="46" t="e">
        <f t="shared" si="7"/>
        <v>#VALUE!</v>
      </c>
      <c r="CQ46" s="46" t="e">
        <f t="shared" si="7"/>
        <v>#VALUE!</v>
      </c>
      <c r="CR46" s="46" t="e">
        <f t="shared" si="7"/>
        <v>#VALUE!</v>
      </c>
      <c r="CS46" s="46" t="e">
        <f t="shared" si="7"/>
        <v>#VALUE!</v>
      </c>
      <c r="CT46" s="46" t="e">
        <f t="shared" si="7"/>
        <v>#VALUE!</v>
      </c>
      <c r="CU46" s="46" t="e">
        <f t="shared" si="7"/>
        <v>#VALUE!</v>
      </c>
      <c r="CV46" s="46" t="e">
        <f t="shared" si="7"/>
        <v>#VALUE!</v>
      </c>
      <c r="CW46" s="46" t="e">
        <f t="shared" si="7"/>
        <v>#VALUE!</v>
      </c>
      <c r="CX46" s="46" t="e">
        <f t="shared" si="7"/>
        <v>#VALUE!</v>
      </c>
      <c r="CY46" s="46" t="e">
        <f t="shared" si="7"/>
        <v>#VALUE!</v>
      </c>
      <c r="CZ46" s="46" t="e">
        <f t="shared" si="7"/>
        <v>#VALUE!</v>
      </c>
      <c r="DA46" s="46" t="e">
        <f t="shared" si="7"/>
        <v>#VALUE!</v>
      </c>
    </row>
    <row r="47" spans="1:107" x14ac:dyDescent="0.25">
      <c r="B47" t="s">
        <v>12</v>
      </c>
      <c r="E47" s="46" t="e">
        <f>IF(ISNUMBER(FIND("R",$B$17)),(E21-E3)^2,(E22-E3)^2)</f>
        <v>#VALUE!</v>
      </c>
      <c r="F47" s="46" t="e">
        <f t="shared" ref="F47:BQ47" si="8">IF(ISNUMBER(FIND("R",$B$17)),(F21-F3)^2,(F22-F3)^2)</f>
        <v>#VALUE!</v>
      </c>
      <c r="G47" s="46" t="e">
        <f t="shared" si="8"/>
        <v>#VALUE!</v>
      </c>
      <c r="H47" s="46" t="e">
        <f t="shared" si="8"/>
        <v>#VALUE!</v>
      </c>
      <c r="I47" s="46" t="e">
        <f t="shared" si="8"/>
        <v>#VALUE!</v>
      </c>
      <c r="J47" s="46" t="e">
        <f t="shared" si="8"/>
        <v>#VALUE!</v>
      </c>
      <c r="K47" s="46" t="e">
        <f t="shared" si="8"/>
        <v>#VALUE!</v>
      </c>
      <c r="L47" s="46" t="e">
        <f t="shared" si="8"/>
        <v>#VALUE!</v>
      </c>
      <c r="M47" s="46" t="e">
        <f t="shared" si="8"/>
        <v>#VALUE!</v>
      </c>
      <c r="N47" s="46" t="e">
        <f t="shared" si="8"/>
        <v>#VALUE!</v>
      </c>
      <c r="O47" s="46" t="e">
        <f t="shared" si="8"/>
        <v>#VALUE!</v>
      </c>
      <c r="P47" s="46" t="e">
        <f t="shared" si="8"/>
        <v>#VALUE!</v>
      </c>
      <c r="Q47" s="46" t="e">
        <f t="shared" si="8"/>
        <v>#VALUE!</v>
      </c>
      <c r="R47" s="46" t="e">
        <f t="shared" si="8"/>
        <v>#VALUE!</v>
      </c>
      <c r="S47" s="46" t="e">
        <f t="shared" si="8"/>
        <v>#VALUE!</v>
      </c>
      <c r="T47" s="46" t="e">
        <f t="shared" si="8"/>
        <v>#VALUE!</v>
      </c>
      <c r="U47" s="46" t="e">
        <f t="shared" si="8"/>
        <v>#VALUE!</v>
      </c>
      <c r="V47" s="46" t="e">
        <f t="shared" si="8"/>
        <v>#VALUE!</v>
      </c>
      <c r="W47" s="46" t="e">
        <f t="shared" si="8"/>
        <v>#VALUE!</v>
      </c>
      <c r="X47" s="46" t="e">
        <f t="shared" si="8"/>
        <v>#VALUE!</v>
      </c>
      <c r="Y47" s="46" t="e">
        <f t="shared" si="8"/>
        <v>#VALUE!</v>
      </c>
      <c r="Z47" s="46" t="e">
        <f t="shared" si="8"/>
        <v>#VALUE!</v>
      </c>
      <c r="AA47" s="46" t="e">
        <f t="shared" si="8"/>
        <v>#VALUE!</v>
      </c>
      <c r="AB47" s="46" t="e">
        <f t="shared" si="8"/>
        <v>#VALUE!</v>
      </c>
      <c r="AC47" s="46" t="e">
        <f t="shared" si="8"/>
        <v>#VALUE!</v>
      </c>
      <c r="AD47" s="46" t="e">
        <f t="shared" si="8"/>
        <v>#VALUE!</v>
      </c>
      <c r="AE47" s="46" t="e">
        <f t="shared" si="8"/>
        <v>#VALUE!</v>
      </c>
      <c r="AF47" s="46" t="e">
        <f t="shared" si="8"/>
        <v>#VALUE!</v>
      </c>
      <c r="AG47" s="46" t="e">
        <f t="shared" si="8"/>
        <v>#VALUE!</v>
      </c>
      <c r="AH47" s="46" t="e">
        <f t="shared" si="8"/>
        <v>#VALUE!</v>
      </c>
      <c r="AI47" s="46" t="e">
        <f t="shared" si="8"/>
        <v>#VALUE!</v>
      </c>
      <c r="AJ47" s="46" t="e">
        <f t="shared" si="8"/>
        <v>#VALUE!</v>
      </c>
      <c r="AK47" s="46" t="e">
        <f t="shared" si="8"/>
        <v>#VALUE!</v>
      </c>
      <c r="AL47" s="46" t="e">
        <f t="shared" si="8"/>
        <v>#VALUE!</v>
      </c>
      <c r="AM47" s="46" t="e">
        <f t="shared" si="8"/>
        <v>#VALUE!</v>
      </c>
      <c r="AN47" s="46" t="e">
        <f t="shared" si="8"/>
        <v>#VALUE!</v>
      </c>
      <c r="AO47" s="46" t="e">
        <f t="shared" si="8"/>
        <v>#VALUE!</v>
      </c>
      <c r="AP47" s="46" t="e">
        <f t="shared" si="8"/>
        <v>#VALUE!</v>
      </c>
      <c r="AQ47" s="46" t="e">
        <f t="shared" si="8"/>
        <v>#VALUE!</v>
      </c>
      <c r="AR47" s="46" t="e">
        <f t="shared" si="8"/>
        <v>#VALUE!</v>
      </c>
      <c r="AS47" s="46" t="e">
        <f t="shared" si="8"/>
        <v>#VALUE!</v>
      </c>
      <c r="AT47" s="46" t="e">
        <f t="shared" si="8"/>
        <v>#VALUE!</v>
      </c>
      <c r="AU47" s="46" t="e">
        <f t="shared" si="8"/>
        <v>#VALUE!</v>
      </c>
      <c r="AV47" s="46" t="e">
        <f t="shared" si="8"/>
        <v>#VALUE!</v>
      </c>
      <c r="AW47" s="46" t="e">
        <f t="shared" si="8"/>
        <v>#VALUE!</v>
      </c>
      <c r="AX47" s="46" t="e">
        <f t="shared" si="8"/>
        <v>#VALUE!</v>
      </c>
      <c r="AY47" s="46" t="e">
        <f t="shared" si="8"/>
        <v>#VALUE!</v>
      </c>
      <c r="AZ47" s="46" t="e">
        <f t="shared" si="8"/>
        <v>#VALUE!</v>
      </c>
      <c r="BA47" s="46" t="e">
        <f t="shared" si="8"/>
        <v>#VALUE!</v>
      </c>
      <c r="BB47" s="46" t="e">
        <f t="shared" si="8"/>
        <v>#VALUE!</v>
      </c>
      <c r="BC47" s="46" t="e">
        <f t="shared" si="8"/>
        <v>#VALUE!</v>
      </c>
      <c r="BD47" s="46" t="e">
        <f t="shared" si="8"/>
        <v>#VALUE!</v>
      </c>
      <c r="BE47" s="46" t="e">
        <f t="shared" si="8"/>
        <v>#VALUE!</v>
      </c>
      <c r="BF47" s="46" t="e">
        <f t="shared" si="8"/>
        <v>#VALUE!</v>
      </c>
      <c r="BG47" s="46" t="e">
        <f t="shared" si="8"/>
        <v>#VALUE!</v>
      </c>
      <c r="BH47" s="46" t="e">
        <f t="shared" si="8"/>
        <v>#VALUE!</v>
      </c>
      <c r="BI47" s="46" t="e">
        <f t="shared" si="8"/>
        <v>#VALUE!</v>
      </c>
      <c r="BJ47" s="46" t="e">
        <f t="shared" si="8"/>
        <v>#VALUE!</v>
      </c>
      <c r="BK47" s="46" t="e">
        <f t="shared" si="8"/>
        <v>#VALUE!</v>
      </c>
      <c r="BL47" s="46" t="e">
        <f t="shared" si="8"/>
        <v>#VALUE!</v>
      </c>
      <c r="BM47" s="46" t="e">
        <f t="shared" si="8"/>
        <v>#VALUE!</v>
      </c>
      <c r="BN47" s="46" t="e">
        <f t="shared" si="8"/>
        <v>#VALUE!</v>
      </c>
      <c r="BO47" s="46" t="e">
        <f t="shared" si="8"/>
        <v>#VALUE!</v>
      </c>
      <c r="BP47" s="46" t="e">
        <f t="shared" si="8"/>
        <v>#VALUE!</v>
      </c>
      <c r="BQ47" s="46" t="e">
        <f t="shared" si="8"/>
        <v>#VALUE!</v>
      </c>
      <c r="BR47" s="46" t="e">
        <f t="shared" ref="BR47:DA47" si="9">IF(ISNUMBER(FIND("R",$B$17)),(BR21-BR3)^2,(BR22-BR3)^2)</f>
        <v>#VALUE!</v>
      </c>
      <c r="BS47" s="46" t="e">
        <f t="shared" si="9"/>
        <v>#VALUE!</v>
      </c>
      <c r="BT47" s="46" t="e">
        <f t="shared" si="9"/>
        <v>#VALUE!</v>
      </c>
      <c r="BU47" s="46" t="e">
        <f t="shared" si="9"/>
        <v>#VALUE!</v>
      </c>
      <c r="BV47" s="46" t="e">
        <f t="shared" si="9"/>
        <v>#VALUE!</v>
      </c>
      <c r="BW47" s="46" t="e">
        <f t="shared" si="9"/>
        <v>#VALUE!</v>
      </c>
      <c r="BX47" s="46" t="e">
        <f t="shared" si="9"/>
        <v>#VALUE!</v>
      </c>
      <c r="BY47" s="46" t="e">
        <f t="shared" si="9"/>
        <v>#VALUE!</v>
      </c>
      <c r="BZ47" s="46" t="e">
        <f t="shared" si="9"/>
        <v>#VALUE!</v>
      </c>
      <c r="CA47" s="46" t="e">
        <f t="shared" si="9"/>
        <v>#VALUE!</v>
      </c>
      <c r="CB47" s="46" t="e">
        <f t="shared" si="9"/>
        <v>#VALUE!</v>
      </c>
      <c r="CC47" s="46" t="e">
        <f t="shared" si="9"/>
        <v>#VALUE!</v>
      </c>
      <c r="CD47" s="46" t="e">
        <f t="shared" si="9"/>
        <v>#VALUE!</v>
      </c>
      <c r="CE47" s="46" t="e">
        <f t="shared" si="9"/>
        <v>#VALUE!</v>
      </c>
      <c r="CF47" s="46" t="e">
        <f t="shared" si="9"/>
        <v>#VALUE!</v>
      </c>
      <c r="CG47" s="46" t="e">
        <f t="shared" si="9"/>
        <v>#VALUE!</v>
      </c>
      <c r="CH47" s="46" t="e">
        <f t="shared" si="9"/>
        <v>#VALUE!</v>
      </c>
      <c r="CI47" s="46" t="e">
        <f t="shared" si="9"/>
        <v>#VALUE!</v>
      </c>
      <c r="CJ47" s="46" t="e">
        <f t="shared" si="9"/>
        <v>#VALUE!</v>
      </c>
      <c r="CK47" s="46" t="e">
        <f t="shared" si="9"/>
        <v>#VALUE!</v>
      </c>
      <c r="CL47" s="46" t="e">
        <f t="shared" si="9"/>
        <v>#VALUE!</v>
      </c>
      <c r="CM47" s="46" t="e">
        <f t="shared" si="9"/>
        <v>#VALUE!</v>
      </c>
      <c r="CN47" s="46" t="e">
        <f t="shared" si="9"/>
        <v>#VALUE!</v>
      </c>
      <c r="CO47" s="46" t="e">
        <f t="shared" si="9"/>
        <v>#VALUE!</v>
      </c>
      <c r="CP47" s="46" t="e">
        <f t="shared" si="9"/>
        <v>#VALUE!</v>
      </c>
      <c r="CQ47" s="46" t="e">
        <f t="shared" si="9"/>
        <v>#VALUE!</v>
      </c>
      <c r="CR47" s="46" t="e">
        <f t="shared" si="9"/>
        <v>#VALUE!</v>
      </c>
      <c r="CS47" s="46" t="e">
        <f t="shared" si="9"/>
        <v>#VALUE!</v>
      </c>
      <c r="CT47" s="46" t="e">
        <f t="shared" si="9"/>
        <v>#VALUE!</v>
      </c>
      <c r="CU47" s="46" t="e">
        <f t="shared" si="9"/>
        <v>#VALUE!</v>
      </c>
      <c r="CV47" s="46" t="e">
        <f t="shared" si="9"/>
        <v>#VALUE!</v>
      </c>
      <c r="CW47" s="46" t="e">
        <f t="shared" si="9"/>
        <v>#VALUE!</v>
      </c>
      <c r="CX47" s="46" t="e">
        <f t="shared" si="9"/>
        <v>#VALUE!</v>
      </c>
      <c r="CY47" s="46" t="e">
        <f t="shared" si="9"/>
        <v>#VALUE!</v>
      </c>
      <c r="CZ47" s="46" t="e">
        <f t="shared" si="9"/>
        <v>#VALUE!</v>
      </c>
      <c r="DA47" s="46" t="e">
        <f t="shared" si="9"/>
        <v>#VALUE!</v>
      </c>
    </row>
    <row r="48" spans="1:107" x14ac:dyDescent="0.25">
      <c r="B48" t="s">
        <v>11</v>
      </c>
      <c r="E48" s="46" t="e">
        <f>IF(ISNUMBER(FIND("R",$B$17)),(E22-E3)^2,(E21-E3)^2)</f>
        <v>#VALUE!</v>
      </c>
      <c r="F48" s="46" t="e">
        <f t="shared" ref="F48:BQ48" si="10">IF(ISNUMBER(FIND("R",$B$17)),(F22-F3)^2,(F21-F3)^2)</f>
        <v>#VALUE!</v>
      </c>
      <c r="G48" s="46" t="e">
        <f t="shared" si="10"/>
        <v>#VALUE!</v>
      </c>
      <c r="H48" s="46" t="e">
        <f t="shared" si="10"/>
        <v>#VALUE!</v>
      </c>
      <c r="I48" s="46" t="e">
        <f t="shared" si="10"/>
        <v>#VALUE!</v>
      </c>
      <c r="J48" s="46" t="e">
        <f t="shared" si="10"/>
        <v>#VALUE!</v>
      </c>
      <c r="K48" s="46" t="e">
        <f t="shared" si="10"/>
        <v>#VALUE!</v>
      </c>
      <c r="L48" s="46" t="e">
        <f t="shared" si="10"/>
        <v>#VALUE!</v>
      </c>
      <c r="M48" s="46" t="e">
        <f t="shared" si="10"/>
        <v>#VALUE!</v>
      </c>
      <c r="N48" s="46" t="e">
        <f t="shared" si="10"/>
        <v>#VALUE!</v>
      </c>
      <c r="O48" s="46" t="e">
        <f t="shared" si="10"/>
        <v>#VALUE!</v>
      </c>
      <c r="P48" s="46" t="e">
        <f t="shared" si="10"/>
        <v>#VALUE!</v>
      </c>
      <c r="Q48" s="46" t="e">
        <f t="shared" si="10"/>
        <v>#VALUE!</v>
      </c>
      <c r="R48" s="46" t="e">
        <f t="shared" si="10"/>
        <v>#VALUE!</v>
      </c>
      <c r="S48" s="46" t="e">
        <f t="shared" si="10"/>
        <v>#VALUE!</v>
      </c>
      <c r="T48" s="46" t="e">
        <f t="shared" si="10"/>
        <v>#VALUE!</v>
      </c>
      <c r="U48" s="46" t="e">
        <f t="shared" si="10"/>
        <v>#VALUE!</v>
      </c>
      <c r="V48" s="46" t="e">
        <f t="shared" si="10"/>
        <v>#VALUE!</v>
      </c>
      <c r="W48" s="46" t="e">
        <f t="shared" si="10"/>
        <v>#VALUE!</v>
      </c>
      <c r="X48" s="46" t="e">
        <f t="shared" si="10"/>
        <v>#VALUE!</v>
      </c>
      <c r="Y48" s="46" t="e">
        <f t="shared" si="10"/>
        <v>#VALUE!</v>
      </c>
      <c r="Z48" s="46" t="e">
        <f t="shared" si="10"/>
        <v>#VALUE!</v>
      </c>
      <c r="AA48" s="46" t="e">
        <f t="shared" si="10"/>
        <v>#VALUE!</v>
      </c>
      <c r="AB48" s="46" t="e">
        <f t="shared" si="10"/>
        <v>#VALUE!</v>
      </c>
      <c r="AC48" s="46" t="e">
        <f t="shared" si="10"/>
        <v>#VALUE!</v>
      </c>
      <c r="AD48" s="46" t="e">
        <f t="shared" si="10"/>
        <v>#VALUE!</v>
      </c>
      <c r="AE48" s="46" t="e">
        <f t="shared" si="10"/>
        <v>#VALUE!</v>
      </c>
      <c r="AF48" s="46" t="e">
        <f t="shared" si="10"/>
        <v>#VALUE!</v>
      </c>
      <c r="AG48" s="46" t="e">
        <f t="shared" si="10"/>
        <v>#VALUE!</v>
      </c>
      <c r="AH48" s="46" t="e">
        <f t="shared" si="10"/>
        <v>#VALUE!</v>
      </c>
      <c r="AI48" s="46" t="e">
        <f t="shared" si="10"/>
        <v>#VALUE!</v>
      </c>
      <c r="AJ48" s="46" t="e">
        <f t="shared" si="10"/>
        <v>#VALUE!</v>
      </c>
      <c r="AK48" s="46" t="e">
        <f t="shared" si="10"/>
        <v>#VALUE!</v>
      </c>
      <c r="AL48" s="46" t="e">
        <f t="shared" si="10"/>
        <v>#VALUE!</v>
      </c>
      <c r="AM48" s="46" t="e">
        <f t="shared" si="10"/>
        <v>#VALUE!</v>
      </c>
      <c r="AN48" s="46" t="e">
        <f t="shared" si="10"/>
        <v>#VALUE!</v>
      </c>
      <c r="AO48" s="46" t="e">
        <f t="shared" si="10"/>
        <v>#VALUE!</v>
      </c>
      <c r="AP48" s="46" t="e">
        <f t="shared" si="10"/>
        <v>#VALUE!</v>
      </c>
      <c r="AQ48" s="46" t="e">
        <f t="shared" si="10"/>
        <v>#VALUE!</v>
      </c>
      <c r="AR48" s="46" t="e">
        <f t="shared" si="10"/>
        <v>#VALUE!</v>
      </c>
      <c r="AS48" s="46" t="e">
        <f t="shared" si="10"/>
        <v>#VALUE!</v>
      </c>
      <c r="AT48" s="46" t="e">
        <f t="shared" si="10"/>
        <v>#VALUE!</v>
      </c>
      <c r="AU48" s="46" t="e">
        <f t="shared" si="10"/>
        <v>#VALUE!</v>
      </c>
      <c r="AV48" s="46" t="e">
        <f t="shared" si="10"/>
        <v>#VALUE!</v>
      </c>
      <c r="AW48" s="46" t="e">
        <f t="shared" si="10"/>
        <v>#VALUE!</v>
      </c>
      <c r="AX48" s="46" t="e">
        <f t="shared" si="10"/>
        <v>#VALUE!</v>
      </c>
      <c r="AY48" s="46" t="e">
        <f t="shared" si="10"/>
        <v>#VALUE!</v>
      </c>
      <c r="AZ48" s="46" t="e">
        <f t="shared" si="10"/>
        <v>#VALUE!</v>
      </c>
      <c r="BA48" s="46" t="e">
        <f t="shared" si="10"/>
        <v>#VALUE!</v>
      </c>
      <c r="BB48" s="46" t="e">
        <f t="shared" si="10"/>
        <v>#VALUE!</v>
      </c>
      <c r="BC48" s="46" t="e">
        <f t="shared" si="10"/>
        <v>#VALUE!</v>
      </c>
      <c r="BD48" s="46" t="e">
        <f t="shared" si="10"/>
        <v>#VALUE!</v>
      </c>
      <c r="BE48" s="46" t="e">
        <f t="shared" si="10"/>
        <v>#VALUE!</v>
      </c>
      <c r="BF48" s="46" t="e">
        <f t="shared" si="10"/>
        <v>#VALUE!</v>
      </c>
      <c r="BG48" s="46" t="e">
        <f t="shared" si="10"/>
        <v>#VALUE!</v>
      </c>
      <c r="BH48" s="46" t="e">
        <f t="shared" si="10"/>
        <v>#VALUE!</v>
      </c>
      <c r="BI48" s="46" t="e">
        <f t="shared" si="10"/>
        <v>#VALUE!</v>
      </c>
      <c r="BJ48" s="46" t="e">
        <f t="shared" si="10"/>
        <v>#VALUE!</v>
      </c>
      <c r="BK48" s="46" t="e">
        <f t="shared" si="10"/>
        <v>#VALUE!</v>
      </c>
      <c r="BL48" s="46" t="e">
        <f t="shared" si="10"/>
        <v>#VALUE!</v>
      </c>
      <c r="BM48" s="46" t="e">
        <f t="shared" si="10"/>
        <v>#VALUE!</v>
      </c>
      <c r="BN48" s="46" t="e">
        <f t="shared" si="10"/>
        <v>#VALUE!</v>
      </c>
      <c r="BO48" s="46" t="e">
        <f t="shared" si="10"/>
        <v>#VALUE!</v>
      </c>
      <c r="BP48" s="46" t="e">
        <f t="shared" si="10"/>
        <v>#VALUE!</v>
      </c>
      <c r="BQ48" s="46" t="e">
        <f t="shared" si="10"/>
        <v>#VALUE!</v>
      </c>
      <c r="BR48" s="46" t="e">
        <f t="shared" ref="BR48:DA48" si="11">IF(ISNUMBER(FIND("R",$B$17)),(BR22-BR3)^2,(BR21-BR3)^2)</f>
        <v>#VALUE!</v>
      </c>
      <c r="BS48" s="46" t="e">
        <f t="shared" si="11"/>
        <v>#VALUE!</v>
      </c>
      <c r="BT48" s="46" t="e">
        <f t="shared" si="11"/>
        <v>#VALUE!</v>
      </c>
      <c r="BU48" s="46" t="e">
        <f t="shared" si="11"/>
        <v>#VALUE!</v>
      </c>
      <c r="BV48" s="46" t="e">
        <f t="shared" si="11"/>
        <v>#VALUE!</v>
      </c>
      <c r="BW48" s="46" t="e">
        <f t="shared" si="11"/>
        <v>#VALUE!</v>
      </c>
      <c r="BX48" s="46" t="e">
        <f t="shared" si="11"/>
        <v>#VALUE!</v>
      </c>
      <c r="BY48" s="46" t="e">
        <f t="shared" si="11"/>
        <v>#VALUE!</v>
      </c>
      <c r="BZ48" s="46" t="e">
        <f t="shared" si="11"/>
        <v>#VALUE!</v>
      </c>
      <c r="CA48" s="46" t="e">
        <f t="shared" si="11"/>
        <v>#VALUE!</v>
      </c>
      <c r="CB48" s="46" t="e">
        <f t="shared" si="11"/>
        <v>#VALUE!</v>
      </c>
      <c r="CC48" s="46" t="e">
        <f t="shared" si="11"/>
        <v>#VALUE!</v>
      </c>
      <c r="CD48" s="46" t="e">
        <f t="shared" si="11"/>
        <v>#VALUE!</v>
      </c>
      <c r="CE48" s="46" t="e">
        <f t="shared" si="11"/>
        <v>#VALUE!</v>
      </c>
      <c r="CF48" s="46" t="e">
        <f t="shared" si="11"/>
        <v>#VALUE!</v>
      </c>
      <c r="CG48" s="46" t="e">
        <f t="shared" si="11"/>
        <v>#VALUE!</v>
      </c>
      <c r="CH48" s="46" t="e">
        <f t="shared" si="11"/>
        <v>#VALUE!</v>
      </c>
      <c r="CI48" s="46" t="e">
        <f t="shared" si="11"/>
        <v>#VALUE!</v>
      </c>
      <c r="CJ48" s="46" t="e">
        <f t="shared" si="11"/>
        <v>#VALUE!</v>
      </c>
      <c r="CK48" s="46" t="e">
        <f t="shared" si="11"/>
        <v>#VALUE!</v>
      </c>
      <c r="CL48" s="46" t="e">
        <f t="shared" si="11"/>
        <v>#VALUE!</v>
      </c>
      <c r="CM48" s="46" t="e">
        <f t="shared" si="11"/>
        <v>#VALUE!</v>
      </c>
      <c r="CN48" s="46" t="e">
        <f t="shared" si="11"/>
        <v>#VALUE!</v>
      </c>
      <c r="CO48" s="46" t="e">
        <f t="shared" si="11"/>
        <v>#VALUE!</v>
      </c>
      <c r="CP48" s="46" t="e">
        <f t="shared" si="11"/>
        <v>#VALUE!</v>
      </c>
      <c r="CQ48" s="46" t="e">
        <f t="shared" si="11"/>
        <v>#VALUE!</v>
      </c>
      <c r="CR48" s="46" t="e">
        <f t="shared" si="11"/>
        <v>#VALUE!</v>
      </c>
      <c r="CS48" s="46" t="e">
        <f t="shared" si="11"/>
        <v>#VALUE!</v>
      </c>
      <c r="CT48" s="46" t="e">
        <f t="shared" si="11"/>
        <v>#VALUE!</v>
      </c>
      <c r="CU48" s="46" t="e">
        <f t="shared" si="11"/>
        <v>#VALUE!</v>
      </c>
      <c r="CV48" s="46" t="e">
        <f t="shared" si="11"/>
        <v>#VALUE!</v>
      </c>
      <c r="CW48" s="46" t="e">
        <f t="shared" si="11"/>
        <v>#VALUE!</v>
      </c>
      <c r="CX48" s="46" t="e">
        <f t="shared" si="11"/>
        <v>#VALUE!</v>
      </c>
      <c r="CY48" s="46" t="e">
        <f t="shared" si="11"/>
        <v>#VALUE!</v>
      </c>
      <c r="CZ48" s="46" t="e">
        <f t="shared" si="11"/>
        <v>#VALUE!</v>
      </c>
      <c r="DA48" s="46" t="e">
        <f t="shared" si="11"/>
        <v>#VALUE!</v>
      </c>
    </row>
    <row r="49" spans="2:105" x14ac:dyDescent="0.25">
      <c r="B49" t="s">
        <v>14</v>
      </c>
      <c r="E49" s="46" t="e">
        <f>IF(ISNUMBER(FIND("R",$B$17)),(E23-E4)^2,(E24-E4)^2)</f>
        <v>#VALUE!</v>
      </c>
      <c r="F49" s="46" t="e">
        <f t="shared" ref="F49:BQ49" si="12">IF(ISNUMBER(FIND("R",$B$17)),(F23-F4)^2,(F24-F4)^2)</f>
        <v>#VALUE!</v>
      </c>
      <c r="G49" s="46" t="e">
        <f t="shared" si="12"/>
        <v>#VALUE!</v>
      </c>
      <c r="H49" s="46" t="e">
        <f t="shared" si="12"/>
        <v>#VALUE!</v>
      </c>
      <c r="I49" s="46" t="e">
        <f t="shared" si="12"/>
        <v>#VALUE!</v>
      </c>
      <c r="J49" s="46" t="e">
        <f t="shared" si="12"/>
        <v>#VALUE!</v>
      </c>
      <c r="K49" s="46" t="e">
        <f t="shared" si="12"/>
        <v>#VALUE!</v>
      </c>
      <c r="L49" s="46" t="e">
        <f t="shared" si="12"/>
        <v>#VALUE!</v>
      </c>
      <c r="M49" s="46" t="e">
        <f t="shared" si="12"/>
        <v>#VALUE!</v>
      </c>
      <c r="N49" s="46" t="e">
        <f t="shared" si="12"/>
        <v>#VALUE!</v>
      </c>
      <c r="O49" s="46" t="e">
        <f t="shared" si="12"/>
        <v>#VALUE!</v>
      </c>
      <c r="P49" s="46" t="e">
        <f t="shared" si="12"/>
        <v>#VALUE!</v>
      </c>
      <c r="Q49" s="46" t="e">
        <f t="shared" si="12"/>
        <v>#VALUE!</v>
      </c>
      <c r="R49" s="46" t="e">
        <f t="shared" si="12"/>
        <v>#VALUE!</v>
      </c>
      <c r="S49" s="46" t="e">
        <f t="shared" si="12"/>
        <v>#VALUE!</v>
      </c>
      <c r="T49" s="46" t="e">
        <f t="shared" si="12"/>
        <v>#VALUE!</v>
      </c>
      <c r="U49" s="46" t="e">
        <f t="shared" si="12"/>
        <v>#VALUE!</v>
      </c>
      <c r="V49" s="46" t="e">
        <f t="shared" si="12"/>
        <v>#VALUE!</v>
      </c>
      <c r="W49" s="46" t="e">
        <f t="shared" si="12"/>
        <v>#VALUE!</v>
      </c>
      <c r="X49" s="46" t="e">
        <f t="shared" si="12"/>
        <v>#VALUE!</v>
      </c>
      <c r="Y49" s="46" t="e">
        <f t="shared" si="12"/>
        <v>#VALUE!</v>
      </c>
      <c r="Z49" s="46" t="e">
        <f t="shared" si="12"/>
        <v>#VALUE!</v>
      </c>
      <c r="AA49" s="46" t="e">
        <f t="shared" si="12"/>
        <v>#VALUE!</v>
      </c>
      <c r="AB49" s="46" t="e">
        <f t="shared" si="12"/>
        <v>#VALUE!</v>
      </c>
      <c r="AC49" s="46" t="e">
        <f t="shared" si="12"/>
        <v>#VALUE!</v>
      </c>
      <c r="AD49" s="46" t="e">
        <f t="shared" si="12"/>
        <v>#VALUE!</v>
      </c>
      <c r="AE49" s="46" t="e">
        <f t="shared" si="12"/>
        <v>#VALUE!</v>
      </c>
      <c r="AF49" s="46" t="e">
        <f t="shared" si="12"/>
        <v>#VALUE!</v>
      </c>
      <c r="AG49" s="46" t="e">
        <f t="shared" si="12"/>
        <v>#VALUE!</v>
      </c>
      <c r="AH49" s="46" t="e">
        <f t="shared" si="12"/>
        <v>#VALUE!</v>
      </c>
      <c r="AI49" s="46" t="e">
        <f t="shared" si="12"/>
        <v>#VALUE!</v>
      </c>
      <c r="AJ49" s="46" t="e">
        <f t="shared" si="12"/>
        <v>#VALUE!</v>
      </c>
      <c r="AK49" s="46" t="e">
        <f t="shared" si="12"/>
        <v>#VALUE!</v>
      </c>
      <c r="AL49" s="46" t="e">
        <f t="shared" si="12"/>
        <v>#VALUE!</v>
      </c>
      <c r="AM49" s="46" t="e">
        <f t="shared" si="12"/>
        <v>#VALUE!</v>
      </c>
      <c r="AN49" s="46" t="e">
        <f t="shared" si="12"/>
        <v>#VALUE!</v>
      </c>
      <c r="AO49" s="46" t="e">
        <f t="shared" si="12"/>
        <v>#VALUE!</v>
      </c>
      <c r="AP49" s="46" t="e">
        <f t="shared" si="12"/>
        <v>#VALUE!</v>
      </c>
      <c r="AQ49" s="46" t="e">
        <f t="shared" si="12"/>
        <v>#VALUE!</v>
      </c>
      <c r="AR49" s="46" t="e">
        <f t="shared" si="12"/>
        <v>#VALUE!</v>
      </c>
      <c r="AS49" s="46" t="e">
        <f t="shared" si="12"/>
        <v>#VALUE!</v>
      </c>
      <c r="AT49" s="46" t="e">
        <f t="shared" si="12"/>
        <v>#VALUE!</v>
      </c>
      <c r="AU49" s="46" t="e">
        <f t="shared" si="12"/>
        <v>#VALUE!</v>
      </c>
      <c r="AV49" s="46" t="e">
        <f t="shared" si="12"/>
        <v>#VALUE!</v>
      </c>
      <c r="AW49" s="46" t="e">
        <f t="shared" si="12"/>
        <v>#VALUE!</v>
      </c>
      <c r="AX49" s="46" t="e">
        <f t="shared" si="12"/>
        <v>#VALUE!</v>
      </c>
      <c r="AY49" s="46" t="e">
        <f t="shared" si="12"/>
        <v>#VALUE!</v>
      </c>
      <c r="AZ49" s="46" t="e">
        <f t="shared" si="12"/>
        <v>#VALUE!</v>
      </c>
      <c r="BA49" s="46" t="e">
        <f t="shared" si="12"/>
        <v>#VALUE!</v>
      </c>
      <c r="BB49" s="46" t="e">
        <f t="shared" si="12"/>
        <v>#VALUE!</v>
      </c>
      <c r="BC49" s="46" t="e">
        <f t="shared" si="12"/>
        <v>#VALUE!</v>
      </c>
      <c r="BD49" s="46" t="e">
        <f t="shared" si="12"/>
        <v>#VALUE!</v>
      </c>
      <c r="BE49" s="46" t="e">
        <f t="shared" si="12"/>
        <v>#VALUE!</v>
      </c>
      <c r="BF49" s="46" t="e">
        <f t="shared" si="12"/>
        <v>#VALUE!</v>
      </c>
      <c r="BG49" s="46" t="e">
        <f t="shared" si="12"/>
        <v>#VALUE!</v>
      </c>
      <c r="BH49" s="46" t="e">
        <f t="shared" si="12"/>
        <v>#VALUE!</v>
      </c>
      <c r="BI49" s="46" t="e">
        <f t="shared" si="12"/>
        <v>#VALUE!</v>
      </c>
      <c r="BJ49" s="46" t="e">
        <f t="shared" si="12"/>
        <v>#VALUE!</v>
      </c>
      <c r="BK49" s="46" t="e">
        <f t="shared" si="12"/>
        <v>#VALUE!</v>
      </c>
      <c r="BL49" s="46" t="e">
        <f t="shared" si="12"/>
        <v>#VALUE!</v>
      </c>
      <c r="BM49" s="46" t="e">
        <f t="shared" si="12"/>
        <v>#VALUE!</v>
      </c>
      <c r="BN49" s="46" t="e">
        <f t="shared" si="12"/>
        <v>#VALUE!</v>
      </c>
      <c r="BO49" s="46" t="e">
        <f t="shared" si="12"/>
        <v>#VALUE!</v>
      </c>
      <c r="BP49" s="46" t="e">
        <f t="shared" si="12"/>
        <v>#VALUE!</v>
      </c>
      <c r="BQ49" s="46" t="e">
        <f t="shared" si="12"/>
        <v>#VALUE!</v>
      </c>
      <c r="BR49" s="46" t="e">
        <f t="shared" ref="BR49:DA49" si="13">IF(ISNUMBER(FIND("R",$B$17)),(BR23-BR4)^2,(BR24-BR4)^2)</f>
        <v>#VALUE!</v>
      </c>
      <c r="BS49" s="46" t="e">
        <f t="shared" si="13"/>
        <v>#VALUE!</v>
      </c>
      <c r="BT49" s="46" t="e">
        <f t="shared" si="13"/>
        <v>#VALUE!</v>
      </c>
      <c r="BU49" s="46" t="e">
        <f t="shared" si="13"/>
        <v>#VALUE!</v>
      </c>
      <c r="BV49" s="46" t="e">
        <f t="shared" si="13"/>
        <v>#VALUE!</v>
      </c>
      <c r="BW49" s="46" t="e">
        <f t="shared" si="13"/>
        <v>#VALUE!</v>
      </c>
      <c r="BX49" s="46" t="e">
        <f t="shared" si="13"/>
        <v>#VALUE!</v>
      </c>
      <c r="BY49" s="46" t="e">
        <f t="shared" si="13"/>
        <v>#VALUE!</v>
      </c>
      <c r="BZ49" s="46" t="e">
        <f t="shared" si="13"/>
        <v>#VALUE!</v>
      </c>
      <c r="CA49" s="46" t="e">
        <f t="shared" si="13"/>
        <v>#VALUE!</v>
      </c>
      <c r="CB49" s="46" t="e">
        <f t="shared" si="13"/>
        <v>#VALUE!</v>
      </c>
      <c r="CC49" s="46" t="e">
        <f t="shared" si="13"/>
        <v>#VALUE!</v>
      </c>
      <c r="CD49" s="46" t="e">
        <f t="shared" si="13"/>
        <v>#VALUE!</v>
      </c>
      <c r="CE49" s="46" t="e">
        <f t="shared" si="13"/>
        <v>#VALUE!</v>
      </c>
      <c r="CF49" s="46" t="e">
        <f t="shared" si="13"/>
        <v>#VALUE!</v>
      </c>
      <c r="CG49" s="46" t="e">
        <f t="shared" si="13"/>
        <v>#VALUE!</v>
      </c>
      <c r="CH49" s="46" t="e">
        <f t="shared" si="13"/>
        <v>#VALUE!</v>
      </c>
      <c r="CI49" s="46" t="e">
        <f t="shared" si="13"/>
        <v>#VALUE!</v>
      </c>
      <c r="CJ49" s="46" t="e">
        <f t="shared" si="13"/>
        <v>#VALUE!</v>
      </c>
      <c r="CK49" s="46" t="e">
        <f t="shared" si="13"/>
        <v>#VALUE!</v>
      </c>
      <c r="CL49" s="46" t="e">
        <f t="shared" si="13"/>
        <v>#VALUE!</v>
      </c>
      <c r="CM49" s="46" t="e">
        <f t="shared" si="13"/>
        <v>#VALUE!</v>
      </c>
      <c r="CN49" s="46" t="e">
        <f t="shared" si="13"/>
        <v>#VALUE!</v>
      </c>
      <c r="CO49" s="46" t="e">
        <f t="shared" si="13"/>
        <v>#VALUE!</v>
      </c>
      <c r="CP49" s="46" t="e">
        <f t="shared" si="13"/>
        <v>#VALUE!</v>
      </c>
      <c r="CQ49" s="46" t="e">
        <f t="shared" si="13"/>
        <v>#VALUE!</v>
      </c>
      <c r="CR49" s="46" t="e">
        <f t="shared" si="13"/>
        <v>#VALUE!</v>
      </c>
      <c r="CS49" s="46" t="e">
        <f t="shared" si="13"/>
        <v>#VALUE!</v>
      </c>
      <c r="CT49" s="46" t="e">
        <f t="shared" si="13"/>
        <v>#VALUE!</v>
      </c>
      <c r="CU49" s="46" t="e">
        <f t="shared" si="13"/>
        <v>#VALUE!</v>
      </c>
      <c r="CV49" s="46" t="e">
        <f t="shared" si="13"/>
        <v>#VALUE!</v>
      </c>
      <c r="CW49" s="46" t="e">
        <f t="shared" si="13"/>
        <v>#VALUE!</v>
      </c>
      <c r="CX49" s="46" t="e">
        <f t="shared" si="13"/>
        <v>#VALUE!</v>
      </c>
      <c r="CY49" s="46" t="e">
        <f t="shared" si="13"/>
        <v>#VALUE!</v>
      </c>
      <c r="CZ49" s="46" t="e">
        <f t="shared" si="13"/>
        <v>#VALUE!</v>
      </c>
      <c r="DA49" s="46" t="e">
        <f t="shared" si="13"/>
        <v>#VALUE!</v>
      </c>
    </row>
    <row r="50" spans="2:105" x14ac:dyDescent="0.25">
      <c r="B50" t="s">
        <v>13</v>
      </c>
      <c r="E50" s="46" t="e">
        <f>IF(ISNUMBER(FIND("R",$B$17)),(E24-E4)^2,(E23-E4)^2)</f>
        <v>#VALUE!</v>
      </c>
      <c r="F50" s="46" t="e">
        <f t="shared" ref="F50:BQ50" si="14">IF(ISNUMBER(FIND("R",$B$17)),(F24-F4)^2,(F23-F4)^2)</f>
        <v>#VALUE!</v>
      </c>
      <c r="G50" s="46" t="e">
        <f t="shared" si="14"/>
        <v>#VALUE!</v>
      </c>
      <c r="H50" s="46" t="e">
        <f t="shared" si="14"/>
        <v>#VALUE!</v>
      </c>
      <c r="I50" s="46" t="e">
        <f t="shared" si="14"/>
        <v>#VALUE!</v>
      </c>
      <c r="J50" s="46" t="e">
        <f t="shared" si="14"/>
        <v>#VALUE!</v>
      </c>
      <c r="K50" s="46" t="e">
        <f t="shared" si="14"/>
        <v>#VALUE!</v>
      </c>
      <c r="L50" s="46" t="e">
        <f t="shared" si="14"/>
        <v>#VALUE!</v>
      </c>
      <c r="M50" s="46" t="e">
        <f t="shared" si="14"/>
        <v>#VALUE!</v>
      </c>
      <c r="N50" s="46" t="e">
        <f t="shared" si="14"/>
        <v>#VALUE!</v>
      </c>
      <c r="O50" s="46" t="e">
        <f t="shared" si="14"/>
        <v>#VALUE!</v>
      </c>
      <c r="P50" s="46" t="e">
        <f t="shared" si="14"/>
        <v>#VALUE!</v>
      </c>
      <c r="Q50" s="46" t="e">
        <f t="shared" si="14"/>
        <v>#VALUE!</v>
      </c>
      <c r="R50" s="46" t="e">
        <f t="shared" si="14"/>
        <v>#VALUE!</v>
      </c>
      <c r="S50" s="46" t="e">
        <f t="shared" si="14"/>
        <v>#VALUE!</v>
      </c>
      <c r="T50" s="46" t="e">
        <f t="shared" si="14"/>
        <v>#VALUE!</v>
      </c>
      <c r="U50" s="46" t="e">
        <f t="shared" si="14"/>
        <v>#VALUE!</v>
      </c>
      <c r="V50" s="46" t="e">
        <f t="shared" si="14"/>
        <v>#VALUE!</v>
      </c>
      <c r="W50" s="46" t="e">
        <f t="shared" si="14"/>
        <v>#VALUE!</v>
      </c>
      <c r="X50" s="46" t="e">
        <f t="shared" si="14"/>
        <v>#VALUE!</v>
      </c>
      <c r="Y50" s="46" t="e">
        <f t="shared" si="14"/>
        <v>#VALUE!</v>
      </c>
      <c r="Z50" s="46" t="e">
        <f t="shared" si="14"/>
        <v>#VALUE!</v>
      </c>
      <c r="AA50" s="46" t="e">
        <f t="shared" si="14"/>
        <v>#VALUE!</v>
      </c>
      <c r="AB50" s="46" t="e">
        <f t="shared" si="14"/>
        <v>#VALUE!</v>
      </c>
      <c r="AC50" s="46" t="e">
        <f t="shared" si="14"/>
        <v>#VALUE!</v>
      </c>
      <c r="AD50" s="46" t="e">
        <f t="shared" si="14"/>
        <v>#VALUE!</v>
      </c>
      <c r="AE50" s="46" t="e">
        <f t="shared" si="14"/>
        <v>#VALUE!</v>
      </c>
      <c r="AF50" s="46" t="e">
        <f t="shared" si="14"/>
        <v>#VALUE!</v>
      </c>
      <c r="AG50" s="46" t="e">
        <f t="shared" si="14"/>
        <v>#VALUE!</v>
      </c>
      <c r="AH50" s="46" t="e">
        <f t="shared" si="14"/>
        <v>#VALUE!</v>
      </c>
      <c r="AI50" s="46" t="e">
        <f t="shared" si="14"/>
        <v>#VALUE!</v>
      </c>
      <c r="AJ50" s="46" t="e">
        <f t="shared" si="14"/>
        <v>#VALUE!</v>
      </c>
      <c r="AK50" s="46" t="e">
        <f t="shared" si="14"/>
        <v>#VALUE!</v>
      </c>
      <c r="AL50" s="46" t="e">
        <f t="shared" si="14"/>
        <v>#VALUE!</v>
      </c>
      <c r="AM50" s="46" t="e">
        <f t="shared" si="14"/>
        <v>#VALUE!</v>
      </c>
      <c r="AN50" s="46" t="e">
        <f t="shared" si="14"/>
        <v>#VALUE!</v>
      </c>
      <c r="AO50" s="46" t="e">
        <f t="shared" si="14"/>
        <v>#VALUE!</v>
      </c>
      <c r="AP50" s="46" t="e">
        <f t="shared" si="14"/>
        <v>#VALUE!</v>
      </c>
      <c r="AQ50" s="46" t="e">
        <f t="shared" si="14"/>
        <v>#VALUE!</v>
      </c>
      <c r="AR50" s="46" t="e">
        <f t="shared" si="14"/>
        <v>#VALUE!</v>
      </c>
      <c r="AS50" s="46" t="e">
        <f t="shared" si="14"/>
        <v>#VALUE!</v>
      </c>
      <c r="AT50" s="46" t="e">
        <f t="shared" si="14"/>
        <v>#VALUE!</v>
      </c>
      <c r="AU50" s="46" t="e">
        <f t="shared" si="14"/>
        <v>#VALUE!</v>
      </c>
      <c r="AV50" s="46" t="e">
        <f t="shared" si="14"/>
        <v>#VALUE!</v>
      </c>
      <c r="AW50" s="46" t="e">
        <f t="shared" si="14"/>
        <v>#VALUE!</v>
      </c>
      <c r="AX50" s="46" t="e">
        <f t="shared" si="14"/>
        <v>#VALUE!</v>
      </c>
      <c r="AY50" s="46" t="e">
        <f t="shared" si="14"/>
        <v>#VALUE!</v>
      </c>
      <c r="AZ50" s="46" t="e">
        <f t="shared" si="14"/>
        <v>#VALUE!</v>
      </c>
      <c r="BA50" s="46" t="e">
        <f t="shared" si="14"/>
        <v>#VALUE!</v>
      </c>
      <c r="BB50" s="46" t="e">
        <f t="shared" si="14"/>
        <v>#VALUE!</v>
      </c>
      <c r="BC50" s="46" t="e">
        <f t="shared" si="14"/>
        <v>#VALUE!</v>
      </c>
      <c r="BD50" s="46" t="e">
        <f t="shared" si="14"/>
        <v>#VALUE!</v>
      </c>
      <c r="BE50" s="46" t="e">
        <f t="shared" si="14"/>
        <v>#VALUE!</v>
      </c>
      <c r="BF50" s="46" t="e">
        <f t="shared" si="14"/>
        <v>#VALUE!</v>
      </c>
      <c r="BG50" s="46" t="e">
        <f t="shared" si="14"/>
        <v>#VALUE!</v>
      </c>
      <c r="BH50" s="46" t="e">
        <f t="shared" si="14"/>
        <v>#VALUE!</v>
      </c>
      <c r="BI50" s="46" t="e">
        <f t="shared" si="14"/>
        <v>#VALUE!</v>
      </c>
      <c r="BJ50" s="46" t="e">
        <f t="shared" si="14"/>
        <v>#VALUE!</v>
      </c>
      <c r="BK50" s="46" t="e">
        <f t="shared" si="14"/>
        <v>#VALUE!</v>
      </c>
      <c r="BL50" s="46" t="e">
        <f t="shared" si="14"/>
        <v>#VALUE!</v>
      </c>
      <c r="BM50" s="46" t="e">
        <f t="shared" si="14"/>
        <v>#VALUE!</v>
      </c>
      <c r="BN50" s="46" t="e">
        <f t="shared" si="14"/>
        <v>#VALUE!</v>
      </c>
      <c r="BO50" s="46" t="e">
        <f t="shared" si="14"/>
        <v>#VALUE!</v>
      </c>
      <c r="BP50" s="46" t="e">
        <f t="shared" si="14"/>
        <v>#VALUE!</v>
      </c>
      <c r="BQ50" s="46" t="e">
        <f t="shared" si="14"/>
        <v>#VALUE!</v>
      </c>
      <c r="BR50" s="46" t="e">
        <f t="shared" ref="BR50:DA50" si="15">IF(ISNUMBER(FIND("R",$B$17)),(BR24-BR4)^2,(BR23-BR4)^2)</f>
        <v>#VALUE!</v>
      </c>
      <c r="BS50" s="46" t="e">
        <f t="shared" si="15"/>
        <v>#VALUE!</v>
      </c>
      <c r="BT50" s="46" t="e">
        <f t="shared" si="15"/>
        <v>#VALUE!</v>
      </c>
      <c r="BU50" s="46" t="e">
        <f t="shared" si="15"/>
        <v>#VALUE!</v>
      </c>
      <c r="BV50" s="46" t="e">
        <f t="shared" si="15"/>
        <v>#VALUE!</v>
      </c>
      <c r="BW50" s="46" t="e">
        <f t="shared" si="15"/>
        <v>#VALUE!</v>
      </c>
      <c r="BX50" s="46" t="e">
        <f t="shared" si="15"/>
        <v>#VALUE!</v>
      </c>
      <c r="BY50" s="46" t="e">
        <f t="shared" si="15"/>
        <v>#VALUE!</v>
      </c>
      <c r="BZ50" s="46" t="e">
        <f t="shared" si="15"/>
        <v>#VALUE!</v>
      </c>
      <c r="CA50" s="46" t="e">
        <f t="shared" si="15"/>
        <v>#VALUE!</v>
      </c>
      <c r="CB50" s="46" t="e">
        <f t="shared" si="15"/>
        <v>#VALUE!</v>
      </c>
      <c r="CC50" s="46" t="e">
        <f t="shared" si="15"/>
        <v>#VALUE!</v>
      </c>
      <c r="CD50" s="46" t="e">
        <f t="shared" si="15"/>
        <v>#VALUE!</v>
      </c>
      <c r="CE50" s="46" t="e">
        <f t="shared" si="15"/>
        <v>#VALUE!</v>
      </c>
      <c r="CF50" s="46" t="e">
        <f t="shared" si="15"/>
        <v>#VALUE!</v>
      </c>
      <c r="CG50" s="46" t="e">
        <f t="shared" si="15"/>
        <v>#VALUE!</v>
      </c>
      <c r="CH50" s="46" t="e">
        <f t="shared" si="15"/>
        <v>#VALUE!</v>
      </c>
      <c r="CI50" s="46" t="e">
        <f t="shared" si="15"/>
        <v>#VALUE!</v>
      </c>
      <c r="CJ50" s="46" t="e">
        <f t="shared" si="15"/>
        <v>#VALUE!</v>
      </c>
      <c r="CK50" s="46" t="e">
        <f t="shared" si="15"/>
        <v>#VALUE!</v>
      </c>
      <c r="CL50" s="46" t="e">
        <f t="shared" si="15"/>
        <v>#VALUE!</v>
      </c>
      <c r="CM50" s="46" t="e">
        <f t="shared" si="15"/>
        <v>#VALUE!</v>
      </c>
      <c r="CN50" s="46" t="e">
        <f t="shared" si="15"/>
        <v>#VALUE!</v>
      </c>
      <c r="CO50" s="46" t="e">
        <f t="shared" si="15"/>
        <v>#VALUE!</v>
      </c>
      <c r="CP50" s="46" t="e">
        <f t="shared" si="15"/>
        <v>#VALUE!</v>
      </c>
      <c r="CQ50" s="46" t="e">
        <f t="shared" si="15"/>
        <v>#VALUE!</v>
      </c>
      <c r="CR50" s="46" t="e">
        <f t="shared" si="15"/>
        <v>#VALUE!</v>
      </c>
      <c r="CS50" s="46" t="e">
        <f t="shared" si="15"/>
        <v>#VALUE!</v>
      </c>
      <c r="CT50" s="46" t="e">
        <f t="shared" si="15"/>
        <v>#VALUE!</v>
      </c>
      <c r="CU50" s="46" t="e">
        <f t="shared" si="15"/>
        <v>#VALUE!</v>
      </c>
      <c r="CV50" s="46" t="e">
        <f t="shared" si="15"/>
        <v>#VALUE!</v>
      </c>
      <c r="CW50" s="46" t="e">
        <f t="shared" si="15"/>
        <v>#VALUE!</v>
      </c>
      <c r="CX50" s="46" t="e">
        <f t="shared" si="15"/>
        <v>#VALUE!</v>
      </c>
      <c r="CY50" s="46" t="e">
        <f t="shared" si="15"/>
        <v>#VALUE!</v>
      </c>
      <c r="CZ50" s="46" t="e">
        <f t="shared" si="15"/>
        <v>#VALUE!</v>
      </c>
      <c r="DA50" s="46" t="e">
        <f t="shared" si="15"/>
        <v>#VALUE!</v>
      </c>
    </row>
    <row r="51" spans="2:105" x14ac:dyDescent="0.25">
      <c r="B51" t="s">
        <v>8</v>
      </c>
      <c r="E51" s="46" t="e">
        <f>IF(ISNUMBER(FIND("R",$B$17)),(E25-E5)^2,(E26-E5)^2)</f>
        <v>#VALUE!</v>
      </c>
      <c r="F51" s="46" t="e">
        <f t="shared" ref="F51:BQ51" si="16">IF(ISNUMBER(FIND("R",$B$17)),(F25-F5)^2,(F26-F5)^2)</f>
        <v>#VALUE!</v>
      </c>
      <c r="G51" s="46" t="e">
        <f t="shared" si="16"/>
        <v>#VALUE!</v>
      </c>
      <c r="H51" s="46" t="e">
        <f t="shared" si="16"/>
        <v>#VALUE!</v>
      </c>
      <c r="I51" s="46" t="e">
        <f t="shared" si="16"/>
        <v>#VALUE!</v>
      </c>
      <c r="J51" s="46" t="e">
        <f t="shared" si="16"/>
        <v>#VALUE!</v>
      </c>
      <c r="K51" s="46" t="e">
        <f t="shared" si="16"/>
        <v>#VALUE!</v>
      </c>
      <c r="L51" s="46" t="e">
        <f t="shared" si="16"/>
        <v>#VALUE!</v>
      </c>
      <c r="M51" s="46" t="e">
        <f t="shared" si="16"/>
        <v>#VALUE!</v>
      </c>
      <c r="N51" s="46" t="e">
        <f t="shared" si="16"/>
        <v>#VALUE!</v>
      </c>
      <c r="O51" s="46" t="e">
        <f t="shared" si="16"/>
        <v>#VALUE!</v>
      </c>
      <c r="P51" s="46" t="e">
        <f t="shared" si="16"/>
        <v>#VALUE!</v>
      </c>
      <c r="Q51" s="46" t="e">
        <f t="shared" si="16"/>
        <v>#VALUE!</v>
      </c>
      <c r="R51" s="46" t="e">
        <f t="shared" si="16"/>
        <v>#VALUE!</v>
      </c>
      <c r="S51" s="46" t="e">
        <f t="shared" si="16"/>
        <v>#VALUE!</v>
      </c>
      <c r="T51" s="46" t="e">
        <f t="shared" si="16"/>
        <v>#VALUE!</v>
      </c>
      <c r="U51" s="46" t="e">
        <f t="shared" si="16"/>
        <v>#VALUE!</v>
      </c>
      <c r="V51" s="46" t="e">
        <f t="shared" si="16"/>
        <v>#VALUE!</v>
      </c>
      <c r="W51" s="46" t="e">
        <f t="shared" si="16"/>
        <v>#VALUE!</v>
      </c>
      <c r="X51" s="46" t="e">
        <f t="shared" si="16"/>
        <v>#VALUE!</v>
      </c>
      <c r="Y51" s="46" t="e">
        <f t="shared" si="16"/>
        <v>#VALUE!</v>
      </c>
      <c r="Z51" s="46" t="e">
        <f t="shared" si="16"/>
        <v>#VALUE!</v>
      </c>
      <c r="AA51" s="46" t="e">
        <f t="shared" si="16"/>
        <v>#VALUE!</v>
      </c>
      <c r="AB51" s="46" t="e">
        <f t="shared" si="16"/>
        <v>#VALUE!</v>
      </c>
      <c r="AC51" s="46" t="e">
        <f t="shared" si="16"/>
        <v>#VALUE!</v>
      </c>
      <c r="AD51" s="46" t="e">
        <f t="shared" si="16"/>
        <v>#VALUE!</v>
      </c>
      <c r="AE51" s="46" t="e">
        <f t="shared" si="16"/>
        <v>#VALUE!</v>
      </c>
      <c r="AF51" s="46" t="e">
        <f t="shared" si="16"/>
        <v>#VALUE!</v>
      </c>
      <c r="AG51" s="46" t="e">
        <f t="shared" si="16"/>
        <v>#VALUE!</v>
      </c>
      <c r="AH51" s="46" t="e">
        <f t="shared" si="16"/>
        <v>#VALUE!</v>
      </c>
      <c r="AI51" s="46" t="e">
        <f t="shared" si="16"/>
        <v>#VALUE!</v>
      </c>
      <c r="AJ51" s="46" t="e">
        <f t="shared" si="16"/>
        <v>#VALUE!</v>
      </c>
      <c r="AK51" s="46" t="e">
        <f t="shared" si="16"/>
        <v>#VALUE!</v>
      </c>
      <c r="AL51" s="46" t="e">
        <f t="shared" si="16"/>
        <v>#VALUE!</v>
      </c>
      <c r="AM51" s="46" t="e">
        <f t="shared" si="16"/>
        <v>#VALUE!</v>
      </c>
      <c r="AN51" s="46" t="e">
        <f t="shared" si="16"/>
        <v>#VALUE!</v>
      </c>
      <c r="AO51" s="46" t="e">
        <f t="shared" si="16"/>
        <v>#VALUE!</v>
      </c>
      <c r="AP51" s="46" t="e">
        <f t="shared" si="16"/>
        <v>#VALUE!</v>
      </c>
      <c r="AQ51" s="46" t="e">
        <f t="shared" si="16"/>
        <v>#VALUE!</v>
      </c>
      <c r="AR51" s="46" t="e">
        <f t="shared" si="16"/>
        <v>#VALUE!</v>
      </c>
      <c r="AS51" s="46" t="e">
        <f t="shared" si="16"/>
        <v>#VALUE!</v>
      </c>
      <c r="AT51" s="46" t="e">
        <f t="shared" si="16"/>
        <v>#VALUE!</v>
      </c>
      <c r="AU51" s="46" t="e">
        <f t="shared" si="16"/>
        <v>#VALUE!</v>
      </c>
      <c r="AV51" s="46" t="e">
        <f t="shared" si="16"/>
        <v>#VALUE!</v>
      </c>
      <c r="AW51" s="46" t="e">
        <f t="shared" si="16"/>
        <v>#VALUE!</v>
      </c>
      <c r="AX51" s="46" t="e">
        <f t="shared" si="16"/>
        <v>#VALUE!</v>
      </c>
      <c r="AY51" s="46" t="e">
        <f t="shared" si="16"/>
        <v>#VALUE!</v>
      </c>
      <c r="AZ51" s="46" t="e">
        <f t="shared" si="16"/>
        <v>#VALUE!</v>
      </c>
      <c r="BA51" s="46" t="e">
        <f t="shared" si="16"/>
        <v>#VALUE!</v>
      </c>
      <c r="BB51" s="46" t="e">
        <f t="shared" si="16"/>
        <v>#VALUE!</v>
      </c>
      <c r="BC51" s="46" t="e">
        <f t="shared" si="16"/>
        <v>#VALUE!</v>
      </c>
      <c r="BD51" s="46" t="e">
        <f t="shared" si="16"/>
        <v>#VALUE!</v>
      </c>
      <c r="BE51" s="46" t="e">
        <f t="shared" si="16"/>
        <v>#VALUE!</v>
      </c>
      <c r="BF51" s="46" t="e">
        <f t="shared" si="16"/>
        <v>#VALUE!</v>
      </c>
      <c r="BG51" s="46" t="e">
        <f t="shared" si="16"/>
        <v>#VALUE!</v>
      </c>
      <c r="BH51" s="46" t="e">
        <f t="shared" si="16"/>
        <v>#VALUE!</v>
      </c>
      <c r="BI51" s="46" t="e">
        <f t="shared" si="16"/>
        <v>#VALUE!</v>
      </c>
      <c r="BJ51" s="46" t="e">
        <f t="shared" si="16"/>
        <v>#VALUE!</v>
      </c>
      <c r="BK51" s="46" t="e">
        <f t="shared" si="16"/>
        <v>#VALUE!</v>
      </c>
      <c r="BL51" s="46" t="e">
        <f t="shared" si="16"/>
        <v>#VALUE!</v>
      </c>
      <c r="BM51" s="46" t="e">
        <f t="shared" si="16"/>
        <v>#VALUE!</v>
      </c>
      <c r="BN51" s="46" t="e">
        <f t="shared" si="16"/>
        <v>#VALUE!</v>
      </c>
      <c r="BO51" s="46" t="e">
        <f t="shared" si="16"/>
        <v>#VALUE!</v>
      </c>
      <c r="BP51" s="46" t="e">
        <f t="shared" si="16"/>
        <v>#VALUE!</v>
      </c>
      <c r="BQ51" s="46" t="e">
        <f t="shared" si="16"/>
        <v>#VALUE!</v>
      </c>
      <c r="BR51" s="46" t="e">
        <f t="shared" ref="BR51:DA51" si="17">IF(ISNUMBER(FIND("R",$B$17)),(BR25-BR5)^2,(BR26-BR5)^2)</f>
        <v>#VALUE!</v>
      </c>
      <c r="BS51" s="46" t="e">
        <f t="shared" si="17"/>
        <v>#VALUE!</v>
      </c>
      <c r="BT51" s="46" t="e">
        <f t="shared" si="17"/>
        <v>#VALUE!</v>
      </c>
      <c r="BU51" s="46" t="e">
        <f t="shared" si="17"/>
        <v>#VALUE!</v>
      </c>
      <c r="BV51" s="46" t="e">
        <f t="shared" si="17"/>
        <v>#VALUE!</v>
      </c>
      <c r="BW51" s="46" t="e">
        <f t="shared" si="17"/>
        <v>#VALUE!</v>
      </c>
      <c r="BX51" s="46" t="e">
        <f t="shared" si="17"/>
        <v>#VALUE!</v>
      </c>
      <c r="BY51" s="46" t="e">
        <f t="shared" si="17"/>
        <v>#VALUE!</v>
      </c>
      <c r="BZ51" s="46" t="e">
        <f t="shared" si="17"/>
        <v>#VALUE!</v>
      </c>
      <c r="CA51" s="46" t="e">
        <f t="shared" si="17"/>
        <v>#VALUE!</v>
      </c>
      <c r="CB51" s="46" t="e">
        <f t="shared" si="17"/>
        <v>#VALUE!</v>
      </c>
      <c r="CC51" s="46" t="e">
        <f t="shared" si="17"/>
        <v>#VALUE!</v>
      </c>
      <c r="CD51" s="46" t="e">
        <f t="shared" si="17"/>
        <v>#VALUE!</v>
      </c>
      <c r="CE51" s="46" t="e">
        <f t="shared" si="17"/>
        <v>#VALUE!</v>
      </c>
      <c r="CF51" s="46" t="e">
        <f t="shared" si="17"/>
        <v>#VALUE!</v>
      </c>
      <c r="CG51" s="46" t="e">
        <f t="shared" si="17"/>
        <v>#VALUE!</v>
      </c>
      <c r="CH51" s="46" t="e">
        <f t="shared" si="17"/>
        <v>#VALUE!</v>
      </c>
      <c r="CI51" s="46" t="e">
        <f t="shared" si="17"/>
        <v>#VALUE!</v>
      </c>
      <c r="CJ51" s="46" t="e">
        <f t="shared" si="17"/>
        <v>#VALUE!</v>
      </c>
      <c r="CK51" s="46" t="e">
        <f t="shared" si="17"/>
        <v>#VALUE!</v>
      </c>
      <c r="CL51" s="46" t="e">
        <f t="shared" si="17"/>
        <v>#VALUE!</v>
      </c>
      <c r="CM51" s="46" t="e">
        <f t="shared" si="17"/>
        <v>#VALUE!</v>
      </c>
      <c r="CN51" s="46" t="e">
        <f t="shared" si="17"/>
        <v>#VALUE!</v>
      </c>
      <c r="CO51" s="46" t="e">
        <f t="shared" si="17"/>
        <v>#VALUE!</v>
      </c>
      <c r="CP51" s="46" t="e">
        <f t="shared" si="17"/>
        <v>#VALUE!</v>
      </c>
      <c r="CQ51" s="46" t="e">
        <f t="shared" si="17"/>
        <v>#VALUE!</v>
      </c>
      <c r="CR51" s="46" t="e">
        <f t="shared" si="17"/>
        <v>#VALUE!</v>
      </c>
      <c r="CS51" s="46" t="e">
        <f t="shared" si="17"/>
        <v>#VALUE!</v>
      </c>
      <c r="CT51" s="46" t="e">
        <f t="shared" si="17"/>
        <v>#VALUE!</v>
      </c>
      <c r="CU51" s="46" t="e">
        <f t="shared" si="17"/>
        <v>#VALUE!</v>
      </c>
      <c r="CV51" s="46" t="e">
        <f t="shared" si="17"/>
        <v>#VALUE!</v>
      </c>
      <c r="CW51" s="46" t="e">
        <f t="shared" si="17"/>
        <v>#VALUE!</v>
      </c>
      <c r="CX51" s="46" t="e">
        <f t="shared" si="17"/>
        <v>#VALUE!</v>
      </c>
      <c r="CY51" s="46" t="e">
        <f t="shared" si="17"/>
        <v>#VALUE!</v>
      </c>
      <c r="CZ51" s="46" t="e">
        <f t="shared" si="17"/>
        <v>#VALUE!</v>
      </c>
      <c r="DA51" s="46" t="e">
        <f t="shared" si="17"/>
        <v>#VALUE!</v>
      </c>
    </row>
    <row r="52" spans="2:105" x14ac:dyDescent="0.25">
      <c r="B52" t="s">
        <v>7</v>
      </c>
      <c r="E52" s="46" t="e">
        <f>IF(ISNUMBER(FIND("R",$B$17)),(E26-E5)^2,(E25-E5)^2)</f>
        <v>#VALUE!</v>
      </c>
      <c r="F52" s="46" t="e">
        <f t="shared" ref="F52:BQ52" si="18">IF(ISNUMBER(FIND("R",$B$17)),(F26-F5)^2,(F25-F5)^2)</f>
        <v>#VALUE!</v>
      </c>
      <c r="G52" s="46" t="e">
        <f t="shared" si="18"/>
        <v>#VALUE!</v>
      </c>
      <c r="H52" s="46" t="e">
        <f t="shared" si="18"/>
        <v>#VALUE!</v>
      </c>
      <c r="I52" s="46" t="e">
        <f t="shared" si="18"/>
        <v>#VALUE!</v>
      </c>
      <c r="J52" s="46" t="e">
        <f t="shared" si="18"/>
        <v>#VALUE!</v>
      </c>
      <c r="K52" s="46" t="e">
        <f t="shared" si="18"/>
        <v>#VALUE!</v>
      </c>
      <c r="L52" s="46" t="e">
        <f t="shared" si="18"/>
        <v>#VALUE!</v>
      </c>
      <c r="M52" s="46" t="e">
        <f t="shared" si="18"/>
        <v>#VALUE!</v>
      </c>
      <c r="N52" s="46" t="e">
        <f t="shared" si="18"/>
        <v>#VALUE!</v>
      </c>
      <c r="O52" s="46" t="e">
        <f t="shared" si="18"/>
        <v>#VALUE!</v>
      </c>
      <c r="P52" s="46" t="e">
        <f t="shared" si="18"/>
        <v>#VALUE!</v>
      </c>
      <c r="Q52" s="46" t="e">
        <f t="shared" si="18"/>
        <v>#VALUE!</v>
      </c>
      <c r="R52" s="46" t="e">
        <f t="shared" si="18"/>
        <v>#VALUE!</v>
      </c>
      <c r="S52" s="46" t="e">
        <f t="shared" si="18"/>
        <v>#VALUE!</v>
      </c>
      <c r="T52" s="46" t="e">
        <f t="shared" si="18"/>
        <v>#VALUE!</v>
      </c>
      <c r="U52" s="46" t="e">
        <f t="shared" si="18"/>
        <v>#VALUE!</v>
      </c>
      <c r="V52" s="46" t="e">
        <f t="shared" si="18"/>
        <v>#VALUE!</v>
      </c>
      <c r="W52" s="46" t="e">
        <f t="shared" si="18"/>
        <v>#VALUE!</v>
      </c>
      <c r="X52" s="46" t="e">
        <f t="shared" si="18"/>
        <v>#VALUE!</v>
      </c>
      <c r="Y52" s="46" t="e">
        <f t="shared" si="18"/>
        <v>#VALUE!</v>
      </c>
      <c r="Z52" s="46" t="e">
        <f t="shared" si="18"/>
        <v>#VALUE!</v>
      </c>
      <c r="AA52" s="46" t="e">
        <f t="shared" si="18"/>
        <v>#VALUE!</v>
      </c>
      <c r="AB52" s="46" t="e">
        <f t="shared" si="18"/>
        <v>#VALUE!</v>
      </c>
      <c r="AC52" s="46" t="e">
        <f t="shared" si="18"/>
        <v>#VALUE!</v>
      </c>
      <c r="AD52" s="46" t="e">
        <f t="shared" si="18"/>
        <v>#VALUE!</v>
      </c>
      <c r="AE52" s="46" t="e">
        <f t="shared" si="18"/>
        <v>#VALUE!</v>
      </c>
      <c r="AF52" s="46" t="e">
        <f t="shared" si="18"/>
        <v>#VALUE!</v>
      </c>
      <c r="AG52" s="46" t="e">
        <f t="shared" si="18"/>
        <v>#VALUE!</v>
      </c>
      <c r="AH52" s="46" t="e">
        <f t="shared" si="18"/>
        <v>#VALUE!</v>
      </c>
      <c r="AI52" s="46" t="e">
        <f t="shared" si="18"/>
        <v>#VALUE!</v>
      </c>
      <c r="AJ52" s="46" t="e">
        <f t="shared" si="18"/>
        <v>#VALUE!</v>
      </c>
      <c r="AK52" s="46" t="e">
        <f t="shared" si="18"/>
        <v>#VALUE!</v>
      </c>
      <c r="AL52" s="46" t="e">
        <f t="shared" si="18"/>
        <v>#VALUE!</v>
      </c>
      <c r="AM52" s="46" t="e">
        <f t="shared" si="18"/>
        <v>#VALUE!</v>
      </c>
      <c r="AN52" s="46" t="e">
        <f t="shared" si="18"/>
        <v>#VALUE!</v>
      </c>
      <c r="AO52" s="46" t="e">
        <f t="shared" si="18"/>
        <v>#VALUE!</v>
      </c>
      <c r="AP52" s="46" t="e">
        <f t="shared" si="18"/>
        <v>#VALUE!</v>
      </c>
      <c r="AQ52" s="46" t="e">
        <f t="shared" si="18"/>
        <v>#VALUE!</v>
      </c>
      <c r="AR52" s="46" t="e">
        <f t="shared" si="18"/>
        <v>#VALUE!</v>
      </c>
      <c r="AS52" s="46" t="e">
        <f t="shared" si="18"/>
        <v>#VALUE!</v>
      </c>
      <c r="AT52" s="46" t="e">
        <f t="shared" si="18"/>
        <v>#VALUE!</v>
      </c>
      <c r="AU52" s="46" t="e">
        <f t="shared" si="18"/>
        <v>#VALUE!</v>
      </c>
      <c r="AV52" s="46" t="e">
        <f t="shared" si="18"/>
        <v>#VALUE!</v>
      </c>
      <c r="AW52" s="46" t="e">
        <f t="shared" si="18"/>
        <v>#VALUE!</v>
      </c>
      <c r="AX52" s="46" t="e">
        <f t="shared" si="18"/>
        <v>#VALUE!</v>
      </c>
      <c r="AY52" s="46" t="e">
        <f t="shared" si="18"/>
        <v>#VALUE!</v>
      </c>
      <c r="AZ52" s="46" t="e">
        <f t="shared" si="18"/>
        <v>#VALUE!</v>
      </c>
      <c r="BA52" s="46" t="e">
        <f t="shared" si="18"/>
        <v>#VALUE!</v>
      </c>
      <c r="BB52" s="46" t="e">
        <f t="shared" si="18"/>
        <v>#VALUE!</v>
      </c>
      <c r="BC52" s="46" t="e">
        <f t="shared" si="18"/>
        <v>#VALUE!</v>
      </c>
      <c r="BD52" s="46" t="e">
        <f t="shared" si="18"/>
        <v>#VALUE!</v>
      </c>
      <c r="BE52" s="46" t="e">
        <f t="shared" si="18"/>
        <v>#VALUE!</v>
      </c>
      <c r="BF52" s="46" t="e">
        <f t="shared" si="18"/>
        <v>#VALUE!</v>
      </c>
      <c r="BG52" s="46" t="e">
        <f t="shared" si="18"/>
        <v>#VALUE!</v>
      </c>
      <c r="BH52" s="46" t="e">
        <f t="shared" si="18"/>
        <v>#VALUE!</v>
      </c>
      <c r="BI52" s="46" t="e">
        <f t="shared" si="18"/>
        <v>#VALUE!</v>
      </c>
      <c r="BJ52" s="46" t="e">
        <f t="shared" si="18"/>
        <v>#VALUE!</v>
      </c>
      <c r="BK52" s="46" t="e">
        <f t="shared" si="18"/>
        <v>#VALUE!</v>
      </c>
      <c r="BL52" s="46" t="e">
        <f t="shared" si="18"/>
        <v>#VALUE!</v>
      </c>
      <c r="BM52" s="46" t="e">
        <f t="shared" si="18"/>
        <v>#VALUE!</v>
      </c>
      <c r="BN52" s="46" t="e">
        <f t="shared" si="18"/>
        <v>#VALUE!</v>
      </c>
      <c r="BO52" s="46" t="e">
        <f t="shared" si="18"/>
        <v>#VALUE!</v>
      </c>
      <c r="BP52" s="46" t="e">
        <f t="shared" si="18"/>
        <v>#VALUE!</v>
      </c>
      <c r="BQ52" s="46" t="e">
        <f t="shared" si="18"/>
        <v>#VALUE!</v>
      </c>
      <c r="BR52" s="46" t="e">
        <f t="shared" ref="BR52:DA52" si="19">IF(ISNUMBER(FIND("R",$B$17)),(BR26-BR5)^2,(BR25-BR5)^2)</f>
        <v>#VALUE!</v>
      </c>
      <c r="BS52" s="46" t="e">
        <f t="shared" si="19"/>
        <v>#VALUE!</v>
      </c>
      <c r="BT52" s="46" t="e">
        <f t="shared" si="19"/>
        <v>#VALUE!</v>
      </c>
      <c r="BU52" s="46" t="e">
        <f t="shared" si="19"/>
        <v>#VALUE!</v>
      </c>
      <c r="BV52" s="46" t="e">
        <f t="shared" si="19"/>
        <v>#VALUE!</v>
      </c>
      <c r="BW52" s="46" t="e">
        <f t="shared" si="19"/>
        <v>#VALUE!</v>
      </c>
      <c r="BX52" s="46" t="e">
        <f t="shared" si="19"/>
        <v>#VALUE!</v>
      </c>
      <c r="BY52" s="46" t="e">
        <f t="shared" si="19"/>
        <v>#VALUE!</v>
      </c>
      <c r="BZ52" s="46" t="e">
        <f t="shared" si="19"/>
        <v>#VALUE!</v>
      </c>
      <c r="CA52" s="46" t="e">
        <f t="shared" si="19"/>
        <v>#VALUE!</v>
      </c>
      <c r="CB52" s="46" t="e">
        <f t="shared" si="19"/>
        <v>#VALUE!</v>
      </c>
      <c r="CC52" s="46" t="e">
        <f t="shared" si="19"/>
        <v>#VALUE!</v>
      </c>
      <c r="CD52" s="46" t="e">
        <f t="shared" si="19"/>
        <v>#VALUE!</v>
      </c>
      <c r="CE52" s="46" t="e">
        <f t="shared" si="19"/>
        <v>#VALUE!</v>
      </c>
      <c r="CF52" s="46" t="e">
        <f t="shared" si="19"/>
        <v>#VALUE!</v>
      </c>
      <c r="CG52" s="46" t="e">
        <f t="shared" si="19"/>
        <v>#VALUE!</v>
      </c>
      <c r="CH52" s="46" t="e">
        <f t="shared" si="19"/>
        <v>#VALUE!</v>
      </c>
      <c r="CI52" s="46" t="e">
        <f t="shared" si="19"/>
        <v>#VALUE!</v>
      </c>
      <c r="CJ52" s="46" t="e">
        <f t="shared" si="19"/>
        <v>#VALUE!</v>
      </c>
      <c r="CK52" s="46" t="e">
        <f t="shared" si="19"/>
        <v>#VALUE!</v>
      </c>
      <c r="CL52" s="46" t="e">
        <f t="shared" si="19"/>
        <v>#VALUE!</v>
      </c>
      <c r="CM52" s="46" t="e">
        <f t="shared" si="19"/>
        <v>#VALUE!</v>
      </c>
      <c r="CN52" s="46" t="e">
        <f t="shared" si="19"/>
        <v>#VALUE!</v>
      </c>
      <c r="CO52" s="46" t="e">
        <f t="shared" si="19"/>
        <v>#VALUE!</v>
      </c>
      <c r="CP52" s="46" t="e">
        <f t="shared" si="19"/>
        <v>#VALUE!</v>
      </c>
      <c r="CQ52" s="46" t="e">
        <f t="shared" si="19"/>
        <v>#VALUE!</v>
      </c>
      <c r="CR52" s="46" t="e">
        <f t="shared" si="19"/>
        <v>#VALUE!</v>
      </c>
      <c r="CS52" s="46" t="e">
        <f t="shared" si="19"/>
        <v>#VALUE!</v>
      </c>
      <c r="CT52" s="46" t="e">
        <f t="shared" si="19"/>
        <v>#VALUE!</v>
      </c>
      <c r="CU52" s="46" t="e">
        <f t="shared" si="19"/>
        <v>#VALUE!</v>
      </c>
      <c r="CV52" s="46" t="e">
        <f t="shared" si="19"/>
        <v>#VALUE!</v>
      </c>
      <c r="CW52" s="46" t="e">
        <f t="shared" si="19"/>
        <v>#VALUE!</v>
      </c>
      <c r="CX52" s="46" t="e">
        <f t="shared" si="19"/>
        <v>#VALUE!</v>
      </c>
      <c r="CY52" s="46" t="e">
        <f t="shared" si="19"/>
        <v>#VALUE!</v>
      </c>
      <c r="CZ52" s="46" t="e">
        <f t="shared" si="19"/>
        <v>#VALUE!</v>
      </c>
      <c r="DA52" s="46" t="e">
        <f t="shared" si="19"/>
        <v>#VALUE!</v>
      </c>
    </row>
    <row r="53" spans="2:105" x14ac:dyDescent="0.25">
      <c r="B53" t="s">
        <v>10</v>
      </c>
      <c r="E53" s="46" t="e">
        <f>IF(ISNUMBER(FIND("R",$B$17)),(E27-E6)^2,(E28-E6)^2)</f>
        <v>#VALUE!</v>
      </c>
      <c r="F53" s="46" t="e">
        <f t="shared" ref="F53:BQ53" si="20">IF(ISNUMBER(FIND("R",$B$17)),(F27-F6)^2,(F28-F6)^2)</f>
        <v>#VALUE!</v>
      </c>
      <c r="G53" s="46" t="e">
        <f t="shared" si="20"/>
        <v>#VALUE!</v>
      </c>
      <c r="H53" s="46" t="e">
        <f t="shared" si="20"/>
        <v>#VALUE!</v>
      </c>
      <c r="I53" s="46" t="e">
        <f t="shared" si="20"/>
        <v>#VALUE!</v>
      </c>
      <c r="J53" s="46" t="e">
        <f t="shared" si="20"/>
        <v>#VALUE!</v>
      </c>
      <c r="K53" s="46" t="e">
        <f t="shared" si="20"/>
        <v>#VALUE!</v>
      </c>
      <c r="L53" s="46" t="e">
        <f t="shared" si="20"/>
        <v>#VALUE!</v>
      </c>
      <c r="M53" s="46" t="e">
        <f t="shared" si="20"/>
        <v>#VALUE!</v>
      </c>
      <c r="N53" s="46" t="e">
        <f t="shared" si="20"/>
        <v>#VALUE!</v>
      </c>
      <c r="O53" s="46" t="e">
        <f t="shared" si="20"/>
        <v>#VALUE!</v>
      </c>
      <c r="P53" s="46" t="e">
        <f t="shared" si="20"/>
        <v>#VALUE!</v>
      </c>
      <c r="Q53" s="46" t="e">
        <f t="shared" si="20"/>
        <v>#VALUE!</v>
      </c>
      <c r="R53" s="46" t="e">
        <f t="shared" si="20"/>
        <v>#VALUE!</v>
      </c>
      <c r="S53" s="46" t="e">
        <f t="shared" si="20"/>
        <v>#VALUE!</v>
      </c>
      <c r="T53" s="46" t="e">
        <f t="shared" si="20"/>
        <v>#VALUE!</v>
      </c>
      <c r="U53" s="46" t="e">
        <f t="shared" si="20"/>
        <v>#VALUE!</v>
      </c>
      <c r="V53" s="46" t="e">
        <f t="shared" si="20"/>
        <v>#VALUE!</v>
      </c>
      <c r="W53" s="46" t="e">
        <f t="shared" si="20"/>
        <v>#VALUE!</v>
      </c>
      <c r="X53" s="46" t="e">
        <f t="shared" si="20"/>
        <v>#VALUE!</v>
      </c>
      <c r="Y53" s="46" t="e">
        <f t="shared" si="20"/>
        <v>#VALUE!</v>
      </c>
      <c r="Z53" s="46" t="e">
        <f t="shared" si="20"/>
        <v>#VALUE!</v>
      </c>
      <c r="AA53" s="46" t="e">
        <f t="shared" si="20"/>
        <v>#VALUE!</v>
      </c>
      <c r="AB53" s="46" t="e">
        <f t="shared" si="20"/>
        <v>#VALUE!</v>
      </c>
      <c r="AC53" s="46" t="e">
        <f t="shared" si="20"/>
        <v>#VALUE!</v>
      </c>
      <c r="AD53" s="46" t="e">
        <f t="shared" si="20"/>
        <v>#VALUE!</v>
      </c>
      <c r="AE53" s="46" t="e">
        <f t="shared" si="20"/>
        <v>#VALUE!</v>
      </c>
      <c r="AF53" s="46" t="e">
        <f t="shared" si="20"/>
        <v>#VALUE!</v>
      </c>
      <c r="AG53" s="46" t="e">
        <f t="shared" si="20"/>
        <v>#VALUE!</v>
      </c>
      <c r="AH53" s="46" t="e">
        <f t="shared" si="20"/>
        <v>#VALUE!</v>
      </c>
      <c r="AI53" s="46" t="e">
        <f t="shared" si="20"/>
        <v>#VALUE!</v>
      </c>
      <c r="AJ53" s="46" t="e">
        <f t="shared" si="20"/>
        <v>#VALUE!</v>
      </c>
      <c r="AK53" s="46" t="e">
        <f t="shared" si="20"/>
        <v>#VALUE!</v>
      </c>
      <c r="AL53" s="46" t="e">
        <f t="shared" si="20"/>
        <v>#VALUE!</v>
      </c>
      <c r="AM53" s="46" t="e">
        <f t="shared" si="20"/>
        <v>#VALUE!</v>
      </c>
      <c r="AN53" s="46" t="e">
        <f t="shared" si="20"/>
        <v>#VALUE!</v>
      </c>
      <c r="AO53" s="46" t="e">
        <f t="shared" si="20"/>
        <v>#VALUE!</v>
      </c>
      <c r="AP53" s="46" t="e">
        <f t="shared" si="20"/>
        <v>#VALUE!</v>
      </c>
      <c r="AQ53" s="46" t="e">
        <f t="shared" si="20"/>
        <v>#VALUE!</v>
      </c>
      <c r="AR53" s="46" t="e">
        <f t="shared" si="20"/>
        <v>#VALUE!</v>
      </c>
      <c r="AS53" s="46" t="e">
        <f t="shared" si="20"/>
        <v>#VALUE!</v>
      </c>
      <c r="AT53" s="46" t="e">
        <f t="shared" si="20"/>
        <v>#VALUE!</v>
      </c>
      <c r="AU53" s="46" t="e">
        <f t="shared" si="20"/>
        <v>#VALUE!</v>
      </c>
      <c r="AV53" s="46" t="e">
        <f t="shared" si="20"/>
        <v>#VALUE!</v>
      </c>
      <c r="AW53" s="46" t="e">
        <f t="shared" si="20"/>
        <v>#VALUE!</v>
      </c>
      <c r="AX53" s="46" t="e">
        <f t="shared" si="20"/>
        <v>#VALUE!</v>
      </c>
      <c r="AY53" s="46" t="e">
        <f t="shared" si="20"/>
        <v>#VALUE!</v>
      </c>
      <c r="AZ53" s="46" t="e">
        <f t="shared" si="20"/>
        <v>#VALUE!</v>
      </c>
      <c r="BA53" s="46" t="e">
        <f t="shared" si="20"/>
        <v>#VALUE!</v>
      </c>
      <c r="BB53" s="46" t="e">
        <f t="shared" si="20"/>
        <v>#VALUE!</v>
      </c>
      <c r="BC53" s="46" t="e">
        <f t="shared" si="20"/>
        <v>#VALUE!</v>
      </c>
      <c r="BD53" s="46" t="e">
        <f t="shared" si="20"/>
        <v>#VALUE!</v>
      </c>
      <c r="BE53" s="46" t="e">
        <f t="shared" si="20"/>
        <v>#VALUE!</v>
      </c>
      <c r="BF53" s="46" t="e">
        <f t="shared" si="20"/>
        <v>#VALUE!</v>
      </c>
      <c r="BG53" s="46" t="e">
        <f t="shared" si="20"/>
        <v>#VALUE!</v>
      </c>
      <c r="BH53" s="46" t="e">
        <f t="shared" si="20"/>
        <v>#VALUE!</v>
      </c>
      <c r="BI53" s="46" t="e">
        <f t="shared" si="20"/>
        <v>#VALUE!</v>
      </c>
      <c r="BJ53" s="46" t="e">
        <f t="shared" si="20"/>
        <v>#VALUE!</v>
      </c>
      <c r="BK53" s="46" t="e">
        <f t="shared" si="20"/>
        <v>#VALUE!</v>
      </c>
      <c r="BL53" s="46" t="e">
        <f t="shared" si="20"/>
        <v>#VALUE!</v>
      </c>
      <c r="BM53" s="46" t="e">
        <f t="shared" si="20"/>
        <v>#VALUE!</v>
      </c>
      <c r="BN53" s="46" t="e">
        <f t="shared" si="20"/>
        <v>#VALUE!</v>
      </c>
      <c r="BO53" s="46" t="e">
        <f t="shared" si="20"/>
        <v>#VALUE!</v>
      </c>
      <c r="BP53" s="46" t="e">
        <f t="shared" si="20"/>
        <v>#VALUE!</v>
      </c>
      <c r="BQ53" s="46" t="e">
        <f t="shared" si="20"/>
        <v>#VALUE!</v>
      </c>
      <c r="BR53" s="46" t="e">
        <f t="shared" ref="BR53:DA53" si="21">IF(ISNUMBER(FIND("R",$B$17)),(BR27-BR6)^2,(BR28-BR6)^2)</f>
        <v>#VALUE!</v>
      </c>
      <c r="BS53" s="46" t="e">
        <f t="shared" si="21"/>
        <v>#VALUE!</v>
      </c>
      <c r="BT53" s="46" t="e">
        <f t="shared" si="21"/>
        <v>#VALUE!</v>
      </c>
      <c r="BU53" s="46" t="e">
        <f t="shared" si="21"/>
        <v>#VALUE!</v>
      </c>
      <c r="BV53" s="46" t="e">
        <f t="shared" si="21"/>
        <v>#VALUE!</v>
      </c>
      <c r="BW53" s="46" t="e">
        <f t="shared" si="21"/>
        <v>#VALUE!</v>
      </c>
      <c r="BX53" s="46" t="e">
        <f t="shared" si="21"/>
        <v>#VALUE!</v>
      </c>
      <c r="BY53" s="46" t="e">
        <f t="shared" si="21"/>
        <v>#VALUE!</v>
      </c>
      <c r="BZ53" s="46" t="e">
        <f t="shared" si="21"/>
        <v>#VALUE!</v>
      </c>
      <c r="CA53" s="46" t="e">
        <f t="shared" si="21"/>
        <v>#VALUE!</v>
      </c>
      <c r="CB53" s="46" t="e">
        <f t="shared" si="21"/>
        <v>#VALUE!</v>
      </c>
      <c r="CC53" s="46" t="e">
        <f t="shared" si="21"/>
        <v>#VALUE!</v>
      </c>
      <c r="CD53" s="46" t="e">
        <f t="shared" si="21"/>
        <v>#VALUE!</v>
      </c>
      <c r="CE53" s="46" t="e">
        <f t="shared" si="21"/>
        <v>#VALUE!</v>
      </c>
      <c r="CF53" s="46" t="e">
        <f t="shared" si="21"/>
        <v>#VALUE!</v>
      </c>
      <c r="CG53" s="46" t="e">
        <f t="shared" si="21"/>
        <v>#VALUE!</v>
      </c>
      <c r="CH53" s="46" t="e">
        <f t="shared" si="21"/>
        <v>#VALUE!</v>
      </c>
      <c r="CI53" s="46" t="e">
        <f t="shared" si="21"/>
        <v>#VALUE!</v>
      </c>
      <c r="CJ53" s="46" t="e">
        <f t="shared" si="21"/>
        <v>#VALUE!</v>
      </c>
      <c r="CK53" s="46" t="e">
        <f t="shared" si="21"/>
        <v>#VALUE!</v>
      </c>
      <c r="CL53" s="46" t="e">
        <f t="shared" si="21"/>
        <v>#VALUE!</v>
      </c>
      <c r="CM53" s="46" t="e">
        <f t="shared" si="21"/>
        <v>#VALUE!</v>
      </c>
      <c r="CN53" s="46" t="e">
        <f t="shared" si="21"/>
        <v>#VALUE!</v>
      </c>
      <c r="CO53" s="46" t="e">
        <f t="shared" si="21"/>
        <v>#VALUE!</v>
      </c>
      <c r="CP53" s="46" t="e">
        <f t="shared" si="21"/>
        <v>#VALUE!</v>
      </c>
      <c r="CQ53" s="46" t="e">
        <f t="shared" si="21"/>
        <v>#VALUE!</v>
      </c>
      <c r="CR53" s="46" t="e">
        <f t="shared" si="21"/>
        <v>#VALUE!</v>
      </c>
      <c r="CS53" s="46" t="e">
        <f t="shared" si="21"/>
        <v>#VALUE!</v>
      </c>
      <c r="CT53" s="46" t="e">
        <f t="shared" si="21"/>
        <v>#VALUE!</v>
      </c>
      <c r="CU53" s="46" t="e">
        <f t="shared" si="21"/>
        <v>#VALUE!</v>
      </c>
      <c r="CV53" s="46" t="e">
        <f t="shared" si="21"/>
        <v>#VALUE!</v>
      </c>
      <c r="CW53" s="46" t="e">
        <f t="shared" si="21"/>
        <v>#VALUE!</v>
      </c>
      <c r="CX53" s="46" t="e">
        <f t="shared" si="21"/>
        <v>#VALUE!</v>
      </c>
      <c r="CY53" s="46" t="e">
        <f t="shared" si="21"/>
        <v>#VALUE!</v>
      </c>
      <c r="CZ53" s="46" t="e">
        <f t="shared" si="21"/>
        <v>#VALUE!</v>
      </c>
      <c r="DA53" s="46" t="e">
        <f t="shared" si="21"/>
        <v>#VALUE!</v>
      </c>
    </row>
    <row r="54" spans="2:105" x14ac:dyDescent="0.25">
      <c r="B54" t="s">
        <v>9</v>
      </c>
      <c r="E54" s="46" t="e">
        <f>IF(ISNUMBER(FIND("R",$B$17)),(E28-E6)^2,(E27-E6)^2)</f>
        <v>#VALUE!</v>
      </c>
      <c r="F54" s="46" t="e">
        <f t="shared" ref="F54:BQ54" si="22">IF(ISNUMBER(FIND("R",$B$17)),(F28-F6)^2,(F27-F6)^2)</f>
        <v>#VALUE!</v>
      </c>
      <c r="G54" s="46" t="e">
        <f t="shared" si="22"/>
        <v>#VALUE!</v>
      </c>
      <c r="H54" s="46" t="e">
        <f t="shared" si="22"/>
        <v>#VALUE!</v>
      </c>
      <c r="I54" s="46" t="e">
        <f t="shared" si="22"/>
        <v>#VALUE!</v>
      </c>
      <c r="J54" s="46" t="e">
        <f t="shared" si="22"/>
        <v>#VALUE!</v>
      </c>
      <c r="K54" s="46" t="e">
        <f t="shared" si="22"/>
        <v>#VALUE!</v>
      </c>
      <c r="L54" s="46" t="e">
        <f t="shared" si="22"/>
        <v>#VALUE!</v>
      </c>
      <c r="M54" s="46" t="e">
        <f t="shared" si="22"/>
        <v>#VALUE!</v>
      </c>
      <c r="N54" s="46" t="e">
        <f t="shared" si="22"/>
        <v>#VALUE!</v>
      </c>
      <c r="O54" s="46" t="e">
        <f t="shared" si="22"/>
        <v>#VALUE!</v>
      </c>
      <c r="P54" s="46" t="e">
        <f t="shared" si="22"/>
        <v>#VALUE!</v>
      </c>
      <c r="Q54" s="46" t="e">
        <f t="shared" si="22"/>
        <v>#VALUE!</v>
      </c>
      <c r="R54" s="46" t="e">
        <f t="shared" si="22"/>
        <v>#VALUE!</v>
      </c>
      <c r="S54" s="46" t="e">
        <f t="shared" si="22"/>
        <v>#VALUE!</v>
      </c>
      <c r="T54" s="46" t="e">
        <f t="shared" si="22"/>
        <v>#VALUE!</v>
      </c>
      <c r="U54" s="46" t="e">
        <f t="shared" si="22"/>
        <v>#VALUE!</v>
      </c>
      <c r="V54" s="46" t="e">
        <f t="shared" si="22"/>
        <v>#VALUE!</v>
      </c>
      <c r="W54" s="46" t="e">
        <f t="shared" si="22"/>
        <v>#VALUE!</v>
      </c>
      <c r="X54" s="46" t="e">
        <f t="shared" si="22"/>
        <v>#VALUE!</v>
      </c>
      <c r="Y54" s="46" t="e">
        <f t="shared" si="22"/>
        <v>#VALUE!</v>
      </c>
      <c r="Z54" s="46" t="e">
        <f t="shared" si="22"/>
        <v>#VALUE!</v>
      </c>
      <c r="AA54" s="46" t="e">
        <f t="shared" si="22"/>
        <v>#VALUE!</v>
      </c>
      <c r="AB54" s="46" t="e">
        <f t="shared" si="22"/>
        <v>#VALUE!</v>
      </c>
      <c r="AC54" s="46" t="e">
        <f t="shared" si="22"/>
        <v>#VALUE!</v>
      </c>
      <c r="AD54" s="46" t="e">
        <f t="shared" si="22"/>
        <v>#VALUE!</v>
      </c>
      <c r="AE54" s="46" t="e">
        <f t="shared" si="22"/>
        <v>#VALUE!</v>
      </c>
      <c r="AF54" s="46" t="e">
        <f t="shared" si="22"/>
        <v>#VALUE!</v>
      </c>
      <c r="AG54" s="46" t="e">
        <f t="shared" si="22"/>
        <v>#VALUE!</v>
      </c>
      <c r="AH54" s="46" t="e">
        <f t="shared" si="22"/>
        <v>#VALUE!</v>
      </c>
      <c r="AI54" s="46" t="e">
        <f t="shared" si="22"/>
        <v>#VALUE!</v>
      </c>
      <c r="AJ54" s="46" t="e">
        <f t="shared" si="22"/>
        <v>#VALUE!</v>
      </c>
      <c r="AK54" s="46" t="e">
        <f t="shared" si="22"/>
        <v>#VALUE!</v>
      </c>
      <c r="AL54" s="46" t="e">
        <f t="shared" si="22"/>
        <v>#VALUE!</v>
      </c>
      <c r="AM54" s="46" t="e">
        <f t="shared" si="22"/>
        <v>#VALUE!</v>
      </c>
      <c r="AN54" s="46" t="e">
        <f t="shared" si="22"/>
        <v>#VALUE!</v>
      </c>
      <c r="AO54" s="46" t="e">
        <f t="shared" si="22"/>
        <v>#VALUE!</v>
      </c>
      <c r="AP54" s="46" t="e">
        <f t="shared" si="22"/>
        <v>#VALUE!</v>
      </c>
      <c r="AQ54" s="46" t="e">
        <f t="shared" si="22"/>
        <v>#VALUE!</v>
      </c>
      <c r="AR54" s="46" t="e">
        <f t="shared" si="22"/>
        <v>#VALUE!</v>
      </c>
      <c r="AS54" s="46" t="e">
        <f t="shared" si="22"/>
        <v>#VALUE!</v>
      </c>
      <c r="AT54" s="46" t="e">
        <f t="shared" si="22"/>
        <v>#VALUE!</v>
      </c>
      <c r="AU54" s="46" t="e">
        <f t="shared" si="22"/>
        <v>#VALUE!</v>
      </c>
      <c r="AV54" s="46" t="e">
        <f t="shared" si="22"/>
        <v>#VALUE!</v>
      </c>
      <c r="AW54" s="46" t="e">
        <f t="shared" si="22"/>
        <v>#VALUE!</v>
      </c>
      <c r="AX54" s="46" t="e">
        <f t="shared" si="22"/>
        <v>#VALUE!</v>
      </c>
      <c r="AY54" s="46" t="e">
        <f t="shared" si="22"/>
        <v>#VALUE!</v>
      </c>
      <c r="AZ54" s="46" t="e">
        <f t="shared" si="22"/>
        <v>#VALUE!</v>
      </c>
      <c r="BA54" s="46" t="e">
        <f t="shared" si="22"/>
        <v>#VALUE!</v>
      </c>
      <c r="BB54" s="46" t="e">
        <f t="shared" si="22"/>
        <v>#VALUE!</v>
      </c>
      <c r="BC54" s="46" t="e">
        <f t="shared" si="22"/>
        <v>#VALUE!</v>
      </c>
      <c r="BD54" s="46" t="e">
        <f t="shared" si="22"/>
        <v>#VALUE!</v>
      </c>
      <c r="BE54" s="46" t="e">
        <f t="shared" si="22"/>
        <v>#VALUE!</v>
      </c>
      <c r="BF54" s="46" t="e">
        <f t="shared" si="22"/>
        <v>#VALUE!</v>
      </c>
      <c r="BG54" s="46" t="e">
        <f t="shared" si="22"/>
        <v>#VALUE!</v>
      </c>
      <c r="BH54" s="46" t="e">
        <f t="shared" si="22"/>
        <v>#VALUE!</v>
      </c>
      <c r="BI54" s="46" t="e">
        <f t="shared" si="22"/>
        <v>#VALUE!</v>
      </c>
      <c r="BJ54" s="46" t="e">
        <f t="shared" si="22"/>
        <v>#VALUE!</v>
      </c>
      <c r="BK54" s="46" t="e">
        <f t="shared" si="22"/>
        <v>#VALUE!</v>
      </c>
      <c r="BL54" s="46" t="e">
        <f t="shared" si="22"/>
        <v>#VALUE!</v>
      </c>
      <c r="BM54" s="46" t="e">
        <f t="shared" si="22"/>
        <v>#VALUE!</v>
      </c>
      <c r="BN54" s="46" t="e">
        <f t="shared" si="22"/>
        <v>#VALUE!</v>
      </c>
      <c r="BO54" s="46" t="e">
        <f t="shared" si="22"/>
        <v>#VALUE!</v>
      </c>
      <c r="BP54" s="46" t="e">
        <f t="shared" si="22"/>
        <v>#VALUE!</v>
      </c>
      <c r="BQ54" s="46" t="e">
        <f t="shared" si="22"/>
        <v>#VALUE!</v>
      </c>
      <c r="BR54" s="46" t="e">
        <f t="shared" ref="BR54:DA54" si="23">IF(ISNUMBER(FIND("R",$B$17)),(BR28-BR6)^2,(BR27-BR6)^2)</f>
        <v>#VALUE!</v>
      </c>
      <c r="BS54" s="46" t="e">
        <f t="shared" si="23"/>
        <v>#VALUE!</v>
      </c>
      <c r="BT54" s="46" t="e">
        <f t="shared" si="23"/>
        <v>#VALUE!</v>
      </c>
      <c r="BU54" s="46" t="e">
        <f t="shared" si="23"/>
        <v>#VALUE!</v>
      </c>
      <c r="BV54" s="46" t="e">
        <f t="shared" si="23"/>
        <v>#VALUE!</v>
      </c>
      <c r="BW54" s="46" t="e">
        <f t="shared" si="23"/>
        <v>#VALUE!</v>
      </c>
      <c r="BX54" s="46" t="e">
        <f t="shared" si="23"/>
        <v>#VALUE!</v>
      </c>
      <c r="BY54" s="46" t="e">
        <f t="shared" si="23"/>
        <v>#VALUE!</v>
      </c>
      <c r="BZ54" s="46" t="e">
        <f t="shared" si="23"/>
        <v>#VALUE!</v>
      </c>
      <c r="CA54" s="46" t="e">
        <f t="shared" si="23"/>
        <v>#VALUE!</v>
      </c>
      <c r="CB54" s="46" t="e">
        <f t="shared" si="23"/>
        <v>#VALUE!</v>
      </c>
      <c r="CC54" s="46" t="e">
        <f t="shared" si="23"/>
        <v>#VALUE!</v>
      </c>
      <c r="CD54" s="46" t="e">
        <f t="shared" si="23"/>
        <v>#VALUE!</v>
      </c>
      <c r="CE54" s="46" t="e">
        <f t="shared" si="23"/>
        <v>#VALUE!</v>
      </c>
      <c r="CF54" s="46" t="e">
        <f t="shared" si="23"/>
        <v>#VALUE!</v>
      </c>
      <c r="CG54" s="46" t="e">
        <f t="shared" si="23"/>
        <v>#VALUE!</v>
      </c>
      <c r="CH54" s="46" t="e">
        <f t="shared" si="23"/>
        <v>#VALUE!</v>
      </c>
      <c r="CI54" s="46" t="e">
        <f t="shared" si="23"/>
        <v>#VALUE!</v>
      </c>
      <c r="CJ54" s="46" t="e">
        <f t="shared" si="23"/>
        <v>#VALUE!</v>
      </c>
      <c r="CK54" s="46" t="e">
        <f t="shared" si="23"/>
        <v>#VALUE!</v>
      </c>
      <c r="CL54" s="46" t="e">
        <f t="shared" si="23"/>
        <v>#VALUE!</v>
      </c>
      <c r="CM54" s="46" t="e">
        <f t="shared" si="23"/>
        <v>#VALUE!</v>
      </c>
      <c r="CN54" s="46" t="e">
        <f t="shared" si="23"/>
        <v>#VALUE!</v>
      </c>
      <c r="CO54" s="46" t="e">
        <f t="shared" si="23"/>
        <v>#VALUE!</v>
      </c>
      <c r="CP54" s="46" t="e">
        <f t="shared" si="23"/>
        <v>#VALUE!</v>
      </c>
      <c r="CQ54" s="46" t="e">
        <f t="shared" si="23"/>
        <v>#VALUE!</v>
      </c>
      <c r="CR54" s="46" t="e">
        <f t="shared" si="23"/>
        <v>#VALUE!</v>
      </c>
      <c r="CS54" s="46" t="e">
        <f t="shared" si="23"/>
        <v>#VALUE!</v>
      </c>
      <c r="CT54" s="46" t="e">
        <f t="shared" si="23"/>
        <v>#VALUE!</v>
      </c>
      <c r="CU54" s="46" t="e">
        <f t="shared" si="23"/>
        <v>#VALUE!</v>
      </c>
      <c r="CV54" s="46" t="e">
        <f t="shared" si="23"/>
        <v>#VALUE!</v>
      </c>
      <c r="CW54" s="46" t="e">
        <f t="shared" si="23"/>
        <v>#VALUE!</v>
      </c>
      <c r="CX54" s="46" t="e">
        <f t="shared" si="23"/>
        <v>#VALUE!</v>
      </c>
      <c r="CY54" s="46" t="e">
        <f t="shared" si="23"/>
        <v>#VALUE!</v>
      </c>
      <c r="CZ54" s="46" t="e">
        <f t="shared" si="23"/>
        <v>#VALUE!</v>
      </c>
      <c r="DA54" s="46" t="e">
        <f t="shared" si="23"/>
        <v>#VALUE!</v>
      </c>
    </row>
    <row r="55" spans="2:105" x14ac:dyDescent="0.25">
      <c r="B55" t="s">
        <v>12</v>
      </c>
      <c r="E55" s="46" t="e">
        <f>IF(ISNUMBER(FIND("R",$B$17)),(E29-E7)^2,(E30-E7)^2)</f>
        <v>#VALUE!</v>
      </c>
      <c r="F55" s="46" t="e">
        <f t="shared" ref="F55:BQ55" si="24">IF(ISNUMBER(FIND("R",$B$17)),(F29-F7)^2,(F30-F7)^2)</f>
        <v>#VALUE!</v>
      </c>
      <c r="G55" s="46" t="e">
        <f t="shared" si="24"/>
        <v>#VALUE!</v>
      </c>
      <c r="H55" s="46" t="e">
        <f t="shared" si="24"/>
        <v>#VALUE!</v>
      </c>
      <c r="I55" s="46" t="e">
        <f t="shared" si="24"/>
        <v>#VALUE!</v>
      </c>
      <c r="J55" s="46" t="e">
        <f t="shared" si="24"/>
        <v>#VALUE!</v>
      </c>
      <c r="K55" s="46" t="e">
        <f t="shared" si="24"/>
        <v>#VALUE!</v>
      </c>
      <c r="L55" s="46" t="e">
        <f t="shared" si="24"/>
        <v>#VALUE!</v>
      </c>
      <c r="M55" s="46" t="e">
        <f t="shared" si="24"/>
        <v>#VALUE!</v>
      </c>
      <c r="N55" s="46" t="e">
        <f t="shared" si="24"/>
        <v>#VALUE!</v>
      </c>
      <c r="O55" s="46" t="e">
        <f t="shared" si="24"/>
        <v>#VALUE!</v>
      </c>
      <c r="P55" s="46" t="e">
        <f t="shared" si="24"/>
        <v>#VALUE!</v>
      </c>
      <c r="Q55" s="46" t="e">
        <f t="shared" si="24"/>
        <v>#VALUE!</v>
      </c>
      <c r="R55" s="46" t="e">
        <f t="shared" si="24"/>
        <v>#VALUE!</v>
      </c>
      <c r="S55" s="46" t="e">
        <f t="shared" si="24"/>
        <v>#VALUE!</v>
      </c>
      <c r="T55" s="46" t="e">
        <f t="shared" si="24"/>
        <v>#VALUE!</v>
      </c>
      <c r="U55" s="46" t="e">
        <f t="shared" si="24"/>
        <v>#VALUE!</v>
      </c>
      <c r="V55" s="46" t="e">
        <f t="shared" si="24"/>
        <v>#VALUE!</v>
      </c>
      <c r="W55" s="46" t="e">
        <f t="shared" si="24"/>
        <v>#VALUE!</v>
      </c>
      <c r="X55" s="46" t="e">
        <f t="shared" si="24"/>
        <v>#VALUE!</v>
      </c>
      <c r="Y55" s="46" t="e">
        <f t="shared" si="24"/>
        <v>#VALUE!</v>
      </c>
      <c r="Z55" s="46" t="e">
        <f t="shared" si="24"/>
        <v>#VALUE!</v>
      </c>
      <c r="AA55" s="46" t="e">
        <f t="shared" si="24"/>
        <v>#VALUE!</v>
      </c>
      <c r="AB55" s="46" t="e">
        <f t="shared" si="24"/>
        <v>#VALUE!</v>
      </c>
      <c r="AC55" s="46" t="e">
        <f t="shared" si="24"/>
        <v>#VALUE!</v>
      </c>
      <c r="AD55" s="46" t="e">
        <f t="shared" si="24"/>
        <v>#VALUE!</v>
      </c>
      <c r="AE55" s="46" t="e">
        <f t="shared" si="24"/>
        <v>#VALUE!</v>
      </c>
      <c r="AF55" s="46" t="e">
        <f t="shared" si="24"/>
        <v>#VALUE!</v>
      </c>
      <c r="AG55" s="46" t="e">
        <f t="shared" si="24"/>
        <v>#VALUE!</v>
      </c>
      <c r="AH55" s="46" t="e">
        <f t="shared" si="24"/>
        <v>#VALUE!</v>
      </c>
      <c r="AI55" s="46" t="e">
        <f t="shared" si="24"/>
        <v>#VALUE!</v>
      </c>
      <c r="AJ55" s="46" t="e">
        <f t="shared" si="24"/>
        <v>#VALUE!</v>
      </c>
      <c r="AK55" s="46" t="e">
        <f t="shared" si="24"/>
        <v>#VALUE!</v>
      </c>
      <c r="AL55" s="46" t="e">
        <f t="shared" si="24"/>
        <v>#VALUE!</v>
      </c>
      <c r="AM55" s="46" t="e">
        <f t="shared" si="24"/>
        <v>#VALUE!</v>
      </c>
      <c r="AN55" s="46" t="e">
        <f t="shared" si="24"/>
        <v>#VALUE!</v>
      </c>
      <c r="AO55" s="46" t="e">
        <f t="shared" si="24"/>
        <v>#VALUE!</v>
      </c>
      <c r="AP55" s="46" t="e">
        <f t="shared" si="24"/>
        <v>#VALUE!</v>
      </c>
      <c r="AQ55" s="46" t="e">
        <f t="shared" si="24"/>
        <v>#VALUE!</v>
      </c>
      <c r="AR55" s="46" t="e">
        <f t="shared" si="24"/>
        <v>#VALUE!</v>
      </c>
      <c r="AS55" s="46" t="e">
        <f t="shared" si="24"/>
        <v>#VALUE!</v>
      </c>
      <c r="AT55" s="46" t="e">
        <f t="shared" si="24"/>
        <v>#VALUE!</v>
      </c>
      <c r="AU55" s="46" t="e">
        <f t="shared" si="24"/>
        <v>#VALUE!</v>
      </c>
      <c r="AV55" s="46" t="e">
        <f t="shared" si="24"/>
        <v>#VALUE!</v>
      </c>
      <c r="AW55" s="46" t="e">
        <f t="shared" si="24"/>
        <v>#VALUE!</v>
      </c>
      <c r="AX55" s="46" t="e">
        <f t="shared" si="24"/>
        <v>#VALUE!</v>
      </c>
      <c r="AY55" s="46" t="e">
        <f t="shared" si="24"/>
        <v>#VALUE!</v>
      </c>
      <c r="AZ55" s="46" t="e">
        <f t="shared" si="24"/>
        <v>#VALUE!</v>
      </c>
      <c r="BA55" s="46" t="e">
        <f t="shared" si="24"/>
        <v>#VALUE!</v>
      </c>
      <c r="BB55" s="46" t="e">
        <f t="shared" si="24"/>
        <v>#VALUE!</v>
      </c>
      <c r="BC55" s="46" t="e">
        <f t="shared" si="24"/>
        <v>#VALUE!</v>
      </c>
      <c r="BD55" s="46" t="e">
        <f t="shared" si="24"/>
        <v>#VALUE!</v>
      </c>
      <c r="BE55" s="46" t="e">
        <f t="shared" si="24"/>
        <v>#VALUE!</v>
      </c>
      <c r="BF55" s="46" t="e">
        <f t="shared" si="24"/>
        <v>#VALUE!</v>
      </c>
      <c r="BG55" s="46" t="e">
        <f t="shared" si="24"/>
        <v>#VALUE!</v>
      </c>
      <c r="BH55" s="46" t="e">
        <f t="shared" si="24"/>
        <v>#VALUE!</v>
      </c>
      <c r="BI55" s="46" t="e">
        <f t="shared" si="24"/>
        <v>#VALUE!</v>
      </c>
      <c r="BJ55" s="46" t="e">
        <f t="shared" si="24"/>
        <v>#VALUE!</v>
      </c>
      <c r="BK55" s="46" t="e">
        <f t="shared" si="24"/>
        <v>#VALUE!</v>
      </c>
      <c r="BL55" s="46" t="e">
        <f t="shared" si="24"/>
        <v>#VALUE!</v>
      </c>
      <c r="BM55" s="46" t="e">
        <f t="shared" si="24"/>
        <v>#VALUE!</v>
      </c>
      <c r="BN55" s="46" t="e">
        <f t="shared" si="24"/>
        <v>#VALUE!</v>
      </c>
      <c r="BO55" s="46" t="e">
        <f t="shared" si="24"/>
        <v>#VALUE!</v>
      </c>
      <c r="BP55" s="46" t="e">
        <f t="shared" si="24"/>
        <v>#VALUE!</v>
      </c>
      <c r="BQ55" s="46" t="e">
        <f t="shared" si="24"/>
        <v>#VALUE!</v>
      </c>
      <c r="BR55" s="46" t="e">
        <f t="shared" ref="BR55:DA55" si="25">IF(ISNUMBER(FIND("R",$B$17)),(BR29-BR7)^2,(BR30-BR7)^2)</f>
        <v>#VALUE!</v>
      </c>
      <c r="BS55" s="46" t="e">
        <f t="shared" si="25"/>
        <v>#VALUE!</v>
      </c>
      <c r="BT55" s="46" t="e">
        <f t="shared" si="25"/>
        <v>#VALUE!</v>
      </c>
      <c r="BU55" s="46" t="e">
        <f t="shared" si="25"/>
        <v>#VALUE!</v>
      </c>
      <c r="BV55" s="46" t="e">
        <f t="shared" si="25"/>
        <v>#VALUE!</v>
      </c>
      <c r="BW55" s="46" t="e">
        <f t="shared" si="25"/>
        <v>#VALUE!</v>
      </c>
      <c r="BX55" s="46" t="e">
        <f t="shared" si="25"/>
        <v>#VALUE!</v>
      </c>
      <c r="BY55" s="46" t="e">
        <f t="shared" si="25"/>
        <v>#VALUE!</v>
      </c>
      <c r="BZ55" s="46" t="e">
        <f t="shared" si="25"/>
        <v>#VALUE!</v>
      </c>
      <c r="CA55" s="46" t="e">
        <f t="shared" si="25"/>
        <v>#VALUE!</v>
      </c>
      <c r="CB55" s="46" t="e">
        <f t="shared" si="25"/>
        <v>#VALUE!</v>
      </c>
      <c r="CC55" s="46" t="e">
        <f t="shared" si="25"/>
        <v>#VALUE!</v>
      </c>
      <c r="CD55" s="46" t="e">
        <f t="shared" si="25"/>
        <v>#VALUE!</v>
      </c>
      <c r="CE55" s="46" t="e">
        <f t="shared" si="25"/>
        <v>#VALUE!</v>
      </c>
      <c r="CF55" s="46" t="e">
        <f t="shared" si="25"/>
        <v>#VALUE!</v>
      </c>
      <c r="CG55" s="46" t="e">
        <f t="shared" si="25"/>
        <v>#VALUE!</v>
      </c>
      <c r="CH55" s="46" t="e">
        <f t="shared" si="25"/>
        <v>#VALUE!</v>
      </c>
      <c r="CI55" s="46" t="e">
        <f t="shared" si="25"/>
        <v>#VALUE!</v>
      </c>
      <c r="CJ55" s="46" t="e">
        <f t="shared" si="25"/>
        <v>#VALUE!</v>
      </c>
      <c r="CK55" s="46" t="e">
        <f t="shared" si="25"/>
        <v>#VALUE!</v>
      </c>
      <c r="CL55" s="46" t="e">
        <f t="shared" si="25"/>
        <v>#VALUE!</v>
      </c>
      <c r="CM55" s="46" t="e">
        <f t="shared" si="25"/>
        <v>#VALUE!</v>
      </c>
      <c r="CN55" s="46" t="e">
        <f t="shared" si="25"/>
        <v>#VALUE!</v>
      </c>
      <c r="CO55" s="46" t="e">
        <f t="shared" si="25"/>
        <v>#VALUE!</v>
      </c>
      <c r="CP55" s="46" t="e">
        <f t="shared" si="25"/>
        <v>#VALUE!</v>
      </c>
      <c r="CQ55" s="46" t="e">
        <f t="shared" si="25"/>
        <v>#VALUE!</v>
      </c>
      <c r="CR55" s="46" t="e">
        <f t="shared" si="25"/>
        <v>#VALUE!</v>
      </c>
      <c r="CS55" s="46" t="e">
        <f t="shared" si="25"/>
        <v>#VALUE!</v>
      </c>
      <c r="CT55" s="46" t="e">
        <f t="shared" si="25"/>
        <v>#VALUE!</v>
      </c>
      <c r="CU55" s="46" t="e">
        <f t="shared" si="25"/>
        <v>#VALUE!</v>
      </c>
      <c r="CV55" s="46" t="e">
        <f t="shared" si="25"/>
        <v>#VALUE!</v>
      </c>
      <c r="CW55" s="46" t="e">
        <f t="shared" si="25"/>
        <v>#VALUE!</v>
      </c>
      <c r="CX55" s="46" t="e">
        <f t="shared" si="25"/>
        <v>#VALUE!</v>
      </c>
      <c r="CY55" s="46" t="e">
        <f t="shared" si="25"/>
        <v>#VALUE!</v>
      </c>
      <c r="CZ55" s="46" t="e">
        <f t="shared" si="25"/>
        <v>#VALUE!</v>
      </c>
      <c r="DA55" s="46" t="e">
        <f t="shared" si="25"/>
        <v>#VALUE!</v>
      </c>
    </row>
    <row r="56" spans="2:105" x14ac:dyDescent="0.25">
      <c r="B56" t="s">
        <v>11</v>
      </c>
      <c r="E56" s="46" t="e">
        <f>IF(ISNUMBER(FIND("R",$B$17)),(E30-E7)^2,(E29-E7)^2)</f>
        <v>#VALUE!</v>
      </c>
      <c r="F56" s="46" t="e">
        <f t="shared" ref="F56:BQ56" si="26">IF(ISNUMBER(FIND("R",$B$17)),(F30-F7)^2,(F29-F7)^2)</f>
        <v>#VALUE!</v>
      </c>
      <c r="G56" s="46" t="e">
        <f t="shared" si="26"/>
        <v>#VALUE!</v>
      </c>
      <c r="H56" s="46" t="e">
        <f t="shared" si="26"/>
        <v>#VALUE!</v>
      </c>
      <c r="I56" s="46" t="e">
        <f t="shared" si="26"/>
        <v>#VALUE!</v>
      </c>
      <c r="J56" s="46" t="e">
        <f t="shared" si="26"/>
        <v>#VALUE!</v>
      </c>
      <c r="K56" s="46" t="e">
        <f t="shared" si="26"/>
        <v>#VALUE!</v>
      </c>
      <c r="L56" s="46" t="e">
        <f t="shared" si="26"/>
        <v>#VALUE!</v>
      </c>
      <c r="M56" s="46" t="e">
        <f t="shared" si="26"/>
        <v>#VALUE!</v>
      </c>
      <c r="N56" s="46" t="e">
        <f t="shared" si="26"/>
        <v>#VALUE!</v>
      </c>
      <c r="O56" s="46" t="e">
        <f t="shared" si="26"/>
        <v>#VALUE!</v>
      </c>
      <c r="P56" s="46" t="e">
        <f t="shared" si="26"/>
        <v>#VALUE!</v>
      </c>
      <c r="Q56" s="46" t="e">
        <f t="shared" si="26"/>
        <v>#VALUE!</v>
      </c>
      <c r="R56" s="46" t="e">
        <f t="shared" si="26"/>
        <v>#VALUE!</v>
      </c>
      <c r="S56" s="46" t="e">
        <f t="shared" si="26"/>
        <v>#VALUE!</v>
      </c>
      <c r="T56" s="46" t="e">
        <f t="shared" si="26"/>
        <v>#VALUE!</v>
      </c>
      <c r="U56" s="46" t="e">
        <f t="shared" si="26"/>
        <v>#VALUE!</v>
      </c>
      <c r="V56" s="46" t="e">
        <f t="shared" si="26"/>
        <v>#VALUE!</v>
      </c>
      <c r="W56" s="46" t="e">
        <f t="shared" si="26"/>
        <v>#VALUE!</v>
      </c>
      <c r="X56" s="46" t="e">
        <f t="shared" si="26"/>
        <v>#VALUE!</v>
      </c>
      <c r="Y56" s="46" t="e">
        <f t="shared" si="26"/>
        <v>#VALUE!</v>
      </c>
      <c r="Z56" s="46" t="e">
        <f t="shared" si="26"/>
        <v>#VALUE!</v>
      </c>
      <c r="AA56" s="46" t="e">
        <f t="shared" si="26"/>
        <v>#VALUE!</v>
      </c>
      <c r="AB56" s="46" t="e">
        <f t="shared" si="26"/>
        <v>#VALUE!</v>
      </c>
      <c r="AC56" s="46" t="e">
        <f t="shared" si="26"/>
        <v>#VALUE!</v>
      </c>
      <c r="AD56" s="46" t="e">
        <f t="shared" si="26"/>
        <v>#VALUE!</v>
      </c>
      <c r="AE56" s="46" t="e">
        <f t="shared" si="26"/>
        <v>#VALUE!</v>
      </c>
      <c r="AF56" s="46" t="e">
        <f t="shared" si="26"/>
        <v>#VALUE!</v>
      </c>
      <c r="AG56" s="46" t="e">
        <f t="shared" si="26"/>
        <v>#VALUE!</v>
      </c>
      <c r="AH56" s="46" t="e">
        <f t="shared" si="26"/>
        <v>#VALUE!</v>
      </c>
      <c r="AI56" s="46" t="e">
        <f t="shared" si="26"/>
        <v>#VALUE!</v>
      </c>
      <c r="AJ56" s="46" t="e">
        <f t="shared" si="26"/>
        <v>#VALUE!</v>
      </c>
      <c r="AK56" s="46" t="e">
        <f t="shared" si="26"/>
        <v>#VALUE!</v>
      </c>
      <c r="AL56" s="46" t="e">
        <f t="shared" si="26"/>
        <v>#VALUE!</v>
      </c>
      <c r="AM56" s="46" t="e">
        <f t="shared" si="26"/>
        <v>#VALUE!</v>
      </c>
      <c r="AN56" s="46" t="e">
        <f t="shared" si="26"/>
        <v>#VALUE!</v>
      </c>
      <c r="AO56" s="46" t="e">
        <f t="shared" si="26"/>
        <v>#VALUE!</v>
      </c>
      <c r="AP56" s="46" t="e">
        <f t="shared" si="26"/>
        <v>#VALUE!</v>
      </c>
      <c r="AQ56" s="46" t="e">
        <f t="shared" si="26"/>
        <v>#VALUE!</v>
      </c>
      <c r="AR56" s="46" t="e">
        <f t="shared" si="26"/>
        <v>#VALUE!</v>
      </c>
      <c r="AS56" s="46" t="e">
        <f t="shared" si="26"/>
        <v>#VALUE!</v>
      </c>
      <c r="AT56" s="46" t="e">
        <f t="shared" si="26"/>
        <v>#VALUE!</v>
      </c>
      <c r="AU56" s="46" t="e">
        <f t="shared" si="26"/>
        <v>#VALUE!</v>
      </c>
      <c r="AV56" s="46" t="e">
        <f t="shared" si="26"/>
        <v>#VALUE!</v>
      </c>
      <c r="AW56" s="46" t="e">
        <f t="shared" si="26"/>
        <v>#VALUE!</v>
      </c>
      <c r="AX56" s="46" t="e">
        <f t="shared" si="26"/>
        <v>#VALUE!</v>
      </c>
      <c r="AY56" s="46" t="e">
        <f t="shared" si="26"/>
        <v>#VALUE!</v>
      </c>
      <c r="AZ56" s="46" t="e">
        <f t="shared" si="26"/>
        <v>#VALUE!</v>
      </c>
      <c r="BA56" s="46" t="e">
        <f t="shared" si="26"/>
        <v>#VALUE!</v>
      </c>
      <c r="BB56" s="46" t="e">
        <f t="shared" si="26"/>
        <v>#VALUE!</v>
      </c>
      <c r="BC56" s="46" t="e">
        <f t="shared" si="26"/>
        <v>#VALUE!</v>
      </c>
      <c r="BD56" s="46" t="e">
        <f t="shared" si="26"/>
        <v>#VALUE!</v>
      </c>
      <c r="BE56" s="46" t="e">
        <f t="shared" si="26"/>
        <v>#VALUE!</v>
      </c>
      <c r="BF56" s="46" t="e">
        <f t="shared" si="26"/>
        <v>#VALUE!</v>
      </c>
      <c r="BG56" s="46" t="e">
        <f t="shared" si="26"/>
        <v>#VALUE!</v>
      </c>
      <c r="BH56" s="46" t="e">
        <f t="shared" si="26"/>
        <v>#VALUE!</v>
      </c>
      <c r="BI56" s="46" t="e">
        <f t="shared" si="26"/>
        <v>#VALUE!</v>
      </c>
      <c r="BJ56" s="46" t="e">
        <f t="shared" si="26"/>
        <v>#VALUE!</v>
      </c>
      <c r="BK56" s="46" t="e">
        <f t="shared" si="26"/>
        <v>#VALUE!</v>
      </c>
      <c r="BL56" s="46" t="e">
        <f t="shared" si="26"/>
        <v>#VALUE!</v>
      </c>
      <c r="BM56" s="46" t="e">
        <f t="shared" si="26"/>
        <v>#VALUE!</v>
      </c>
      <c r="BN56" s="46" t="e">
        <f t="shared" si="26"/>
        <v>#VALUE!</v>
      </c>
      <c r="BO56" s="46" t="e">
        <f t="shared" si="26"/>
        <v>#VALUE!</v>
      </c>
      <c r="BP56" s="46" t="e">
        <f t="shared" si="26"/>
        <v>#VALUE!</v>
      </c>
      <c r="BQ56" s="46" t="e">
        <f t="shared" si="26"/>
        <v>#VALUE!</v>
      </c>
      <c r="BR56" s="46" t="e">
        <f t="shared" ref="BR56:DA56" si="27">IF(ISNUMBER(FIND("R",$B$17)),(BR30-BR7)^2,(BR29-BR7)^2)</f>
        <v>#VALUE!</v>
      </c>
      <c r="BS56" s="46" t="e">
        <f t="shared" si="27"/>
        <v>#VALUE!</v>
      </c>
      <c r="BT56" s="46" t="e">
        <f t="shared" si="27"/>
        <v>#VALUE!</v>
      </c>
      <c r="BU56" s="46" t="e">
        <f t="shared" si="27"/>
        <v>#VALUE!</v>
      </c>
      <c r="BV56" s="46" t="e">
        <f t="shared" si="27"/>
        <v>#VALUE!</v>
      </c>
      <c r="BW56" s="46" t="e">
        <f t="shared" si="27"/>
        <v>#VALUE!</v>
      </c>
      <c r="BX56" s="46" t="e">
        <f t="shared" si="27"/>
        <v>#VALUE!</v>
      </c>
      <c r="BY56" s="46" t="e">
        <f t="shared" si="27"/>
        <v>#VALUE!</v>
      </c>
      <c r="BZ56" s="46" t="e">
        <f t="shared" si="27"/>
        <v>#VALUE!</v>
      </c>
      <c r="CA56" s="46" t="e">
        <f t="shared" si="27"/>
        <v>#VALUE!</v>
      </c>
      <c r="CB56" s="46" t="e">
        <f t="shared" si="27"/>
        <v>#VALUE!</v>
      </c>
      <c r="CC56" s="46" t="e">
        <f t="shared" si="27"/>
        <v>#VALUE!</v>
      </c>
      <c r="CD56" s="46" t="e">
        <f t="shared" si="27"/>
        <v>#VALUE!</v>
      </c>
      <c r="CE56" s="46" t="e">
        <f t="shared" si="27"/>
        <v>#VALUE!</v>
      </c>
      <c r="CF56" s="46" t="e">
        <f t="shared" si="27"/>
        <v>#VALUE!</v>
      </c>
      <c r="CG56" s="46" t="e">
        <f t="shared" si="27"/>
        <v>#VALUE!</v>
      </c>
      <c r="CH56" s="46" t="e">
        <f t="shared" si="27"/>
        <v>#VALUE!</v>
      </c>
      <c r="CI56" s="46" t="e">
        <f t="shared" si="27"/>
        <v>#VALUE!</v>
      </c>
      <c r="CJ56" s="46" t="e">
        <f t="shared" si="27"/>
        <v>#VALUE!</v>
      </c>
      <c r="CK56" s="46" t="e">
        <f t="shared" si="27"/>
        <v>#VALUE!</v>
      </c>
      <c r="CL56" s="46" t="e">
        <f t="shared" si="27"/>
        <v>#VALUE!</v>
      </c>
      <c r="CM56" s="46" t="e">
        <f t="shared" si="27"/>
        <v>#VALUE!</v>
      </c>
      <c r="CN56" s="46" t="e">
        <f t="shared" si="27"/>
        <v>#VALUE!</v>
      </c>
      <c r="CO56" s="46" t="e">
        <f t="shared" si="27"/>
        <v>#VALUE!</v>
      </c>
      <c r="CP56" s="46" t="e">
        <f t="shared" si="27"/>
        <v>#VALUE!</v>
      </c>
      <c r="CQ56" s="46" t="e">
        <f t="shared" si="27"/>
        <v>#VALUE!</v>
      </c>
      <c r="CR56" s="46" t="e">
        <f t="shared" si="27"/>
        <v>#VALUE!</v>
      </c>
      <c r="CS56" s="46" t="e">
        <f t="shared" si="27"/>
        <v>#VALUE!</v>
      </c>
      <c r="CT56" s="46" t="e">
        <f t="shared" si="27"/>
        <v>#VALUE!</v>
      </c>
      <c r="CU56" s="46" t="e">
        <f t="shared" si="27"/>
        <v>#VALUE!</v>
      </c>
      <c r="CV56" s="46" t="e">
        <f t="shared" si="27"/>
        <v>#VALUE!</v>
      </c>
      <c r="CW56" s="46" t="e">
        <f t="shared" si="27"/>
        <v>#VALUE!</v>
      </c>
      <c r="CX56" s="46" t="e">
        <f t="shared" si="27"/>
        <v>#VALUE!</v>
      </c>
      <c r="CY56" s="46" t="e">
        <f t="shared" si="27"/>
        <v>#VALUE!</v>
      </c>
      <c r="CZ56" s="46" t="e">
        <f t="shared" si="27"/>
        <v>#VALUE!</v>
      </c>
      <c r="DA56" s="46" t="e">
        <f t="shared" si="27"/>
        <v>#VALUE!</v>
      </c>
    </row>
    <row r="57" spans="2:105" x14ac:dyDescent="0.25">
      <c r="B57" t="s">
        <v>8</v>
      </c>
      <c r="E57" s="46" t="e">
        <f>IF(ISNUMBER(FIND("R",$B$17)),(E31-E8)^2,(E32-E8)^2)</f>
        <v>#VALUE!</v>
      </c>
      <c r="F57" s="46" t="e">
        <f t="shared" ref="F57:BQ57" si="28">IF(ISNUMBER(FIND("R",$B$17)),(F31-F8)^2,(F32-F8)^2)</f>
        <v>#VALUE!</v>
      </c>
      <c r="G57" s="46" t="e">
        <f t="shared" si="28"/>
        <v>#VALUE!</v>
      </c>
      <c r="H57" s="46" t="e">
        <f t="shared" si="28"/>
        <v>#VALUE!</v>
      </c>
      <c r="I57" s="46" t="e">
        <f t="shared" si="28"/>
        <v>#VALUE!</v>
      </c>
      <c r="J57" s="46" t="e">
        <f t="shared" si="28"/>
        <v>#VALUE!</v>
      </c>
      <c r="K57" s="46" t="e">
        <f t="shared" si="28"/>
        <v>#VALUE!</v>
      </c>
      <c r="L57" s="46" t="e">
        <f t="shared" si="28"/>
        <v>#VALUE!</v>
      </c>
      <c r="M57" s="46" t="e">
        <f t="shared" si="28"/>
        <v>#VALUE!</v>
      </c>
      <c r="N57" s="46" t="e">
        <f t="shared" si="28"/>
        <v>#VALUE!</v>
      </c>
      <c r="O57" s="46" t="e">
        <f t="shared" si="28"/>
        <v>#VALUE!</v>
      </c>
      <c r="P57" s="46" t="e">
        <f t="shared" si="28"/>
        <v>#VALUE!</v>
      </c>
      <c r="Q57" s="46" t="e">
        <f t="shared" si="28"/>
        <v>#VALUE!</v>
      </c>
      <c r="R57" s="46" t="e">
        <f t="shared" si="28"/>
        <v>#VALUE!</v>
      </c>
      <c r="S57" s="46" t="e">
        <f t="shared" si="28"/>
        <v>#VALUE!</v>
      </c>
      <c r="T57" s="46" t="e">
        <f t="shared" si="28"/>
        <v>#VALUE!</v>
      </c>
      <c r="U57" s="46" t="e">
        <f t="shared" si="28"/>
        <v>#VALUE!</v>
      </c>
      <c r="V57" s="46" t="e">
        <f t="shared" si="28"/>
        <v>#VALUE!</v>
      </c>
      <c r="W57" s="46" t="e">
        <f t="shared" si="28"/>
        <v>#VALUE!</v>
      </c>
      <c r="X57" s="46" t="e">
        <f t="shared" si="28"/>
        <v>#VALUE!</v>
      </c>
      <c r="Y57" s="46" t="e">
        <f t="shared" si="28"/>
        <v>#VALUE!</v>
      </c>
      <c r="Z57" s="46" t="e">
        <f t="shared" si="28"/>
        <v>#VALUE!</v>
      </c>
      <c r="AA57" s="46" t="e">
        <f t="shared" si="28"/>
        <v>#VALUE!</v>
      </c>
      <c r="AB57" s="46" t="e">
        <f t="shared" si="28"/>
        <v>#VALUE!</v>
      </c>
      <c r="AC57" s="46" t="e">
        <f t="shared" si="28"/>
        <v>#VALUE!</v>
      </c>
      <c r="AD57" s="46" t="e">
        <f t="shared" si="28"/>
        <v>#VALUE!</v>
      </c>
      <c r="AE57" s="46" t="e">
        <f t="shared" si="28"/>
        <v>#VALUE!</v>
      </c>
      <c r="AF57" s="46" t="e">
        <f t="shared" si="28"/>
        <v>#VALUE!</v>
      </c>
      <c r="AG57" s="46" t="e">
        <f t="shared" si="28"/>
        <v>#VALUE!</v>
      </c>
      <c r="AH57" s="46" t="e">
        <f t="shared" si="28"/>
        <v>#VALUE!</v>
      </c>
      <c r="AI57" s="46" t="e">
        <f t="shared" si="28"/>
        <v>#VALUE!</v>
      </c>
      <c r="AJ57" s="46" t="e">
        <f t="shared" si="28"/>
        <v>#VALUE!</v>
      </c>
      <c r="AK57" s="46" t="e">
        <f t="shared" si="28"/>
        <v>#VALUE!</v>
      </c>
      <c r="AL57" s="46" t="e">
        <f t="shared" si="28"/>
        <v>#VALUE!</v>
      </c>
      <c r="AM57" s="46" t="e">
        <f t="shared" si="28"/>
        <v>#VALUE!</v>
      </c>
      <c r="AN57" s="46" t="e">
        <f t="shared" si="28"/>
        <v>#VALUE!</v>
      </c>
      <c r="AO57" s="46" t="e">
        <f t="shared" si="28"/>
        <v>#VALUE!</v>
      </c>
      <c r="AP57" s="46" t="e">
        <f t="shared" si="28"/>
        <v>#VALUE!</v>
      </c>
      <c r="AQ57" s="46" t="e">
        <f t="shared" si="28"/>
        <v>#VALUE!</v>
      </c>
      <c r="AR57" s="46" t="e">
        <f t="shared" si="28"/>
        <v>#VALUE!</v>
      </c>
      <c r="AS57" s="46" t="e">
        <f t="shared" si="28"/>
        <v>#VALUE!</v>
      </c>
      <c r="AT57" s="46" t="e">
        <f t="shared" si="28"/>
        <v>#VALUE!</v>
      </c>
      <c r="AU57" s="46" t="e">
        <f t="shared" si="28"/>
        <v>#VALUE!</v>
      </c>
      <c r="AV57" s="46" t="e">
        <f t="shared" si="28"/>
        <v>#VALUE!</v>
      </c>
      <c r="AW57" s="46" t="e">
        <f t="shared" si="28"/>
        <v>#VALUE!</v>
      </c>
      <c r="AX57" s="46" t="e">
        <f t="shared" si="28"/>
        <v>#VALUE!</v>
      </c>
      <c r="AY57" s="46" t="e">
        <f t="shared" si="28"/>
        <v>#VALUE!</v>
      </c>
      <c r="AZ57" s="46" t="e">
        <f t="shared" si="28"/>
        <v>#VALUE!</v>
      </c>
      <c r="BA57" s="46" t="e">
        <f t="shared" si="28"/>
        <v>#VALUE!</v>
      </c>
      <c r="BB57" s="46" t="e">
        <f t="shared" si="28"/>
        <v>#VALUE!</v>
      </c>
      <c r="BC57" s="46" t="e">
        <f t="shared" si="28"/>
        <v>#VALUE!</v>
      </c>
      <c r="BD57" s="46" t="e">
        <f t="shared" si="28"/>
        <v>#VALUE!</v>
      </c>
      <c r="BE57" s="46" t="e">
        <f t="shared" si="28"/>
        <v>#VALUE!</v>
      </c>
      <c r="BF57" s="46" t="e">
        <f t="shared" si="28"/>
        <v>#VALUE!</v>
      </c>
      <c r="BG57" s="46" t="e">
        <f t="shared" si="28"/>
        <v>#VALUE!</v>
      </c>
      <c r="BH57" s="46" t="e">
        <f t="shared" si="28"/>
        <v>#VALUE!</v>
      </c>
      <c r="BI57" s="46" t="e">
        <f t="shared" si="28"/>
        <v>#VALUE!</v>
      </c>
      <c r="BJ57" s="46" t="e">
        <f t="shared" si="28"/>
        <v>#VALUE!</v>
      </c>
      <c r="BK57" s="46" t="e">
        <f t="shared" si="28"/>
        <v>#VALUE!</v>
      </c>
      <c r="BL57" s="46" t="e">
        <f t="shared" si="28"/>
        <v>#VALUE!</v>
      </c>
      <c r="BM57" s="46" t="e">
        <f t="shared" si="28"/>
        <v>#VALUE!</v>
      </c>
      <c r="BN57" s="46" t="e">
        <f t="shared" si="28"/>
        <v>#VALUE!</v>
      </c>
      <c r="BO57" s="46" t="e">
        <f t="shared" si="28"/>
        <v>#VALUE!</v>
      </c>
      <c r="BP57" s="46" t="e">
        <f t="shared" si="28"/>
        <v>#VALUE!</v>
      </c>
      <c r="BQ57" s="46" t="e">
        <f t="shared" si="28"/>
        <v>#VALUE!</v>
      </c>
      <c r="BR57" s="46" t="e">
        <f t="shared" ref="BR57:DA57" si="29">IF(ISNUMBER(FIND("R",$B$17)),(BR31-BR8)^2,(BR32-BR8)^2)</f>
        <v>#VALUE!</v>
      </c>
      <c r="BS57" s="46" t="e">
        <f t="shared" si="29"/>
        <v>#VALUE!</v>
      </c>
      <c r="BT57" s="46" t="e">
        <f t="shared" si="29"/>
        <v>#VALUE!</v>
      </c>
      <c r="BU57" s="46" t="e">
        <f t="shared" si="29"/>
        <v>#VALUE!</v>
      </c>
      <c r="BV57" s="46" t="e">
        <f t="shared" si="29"/>
        <v>#VALUE!</v>
      </c>
      <c r="BW57" s="46" t="e">
        <f t="shared" si="29"/>
        <v>#VALUE!</v>
      </c>
      <c r="BX57" s="46" t="e">
        <f t="shared" si="29"/>
        <v>#VALUE!</v>
      </c>
      <c r="BY57" s="46" t="e">
        <f t="shared" si="29"/>
        <v>#VALUE!</v>
      </c>
      <c r="BZ57" s="46" t="e">
        <f t="shared" si="29"/>
        <v>#VALUE!</v>
      </c>
      <c r="CA57" s="46" t="e">
        <f t="shared" si="29"/>
        <v>#VALUE!</v>
      </c>
      <c r="CB57" s="46" t="e">
        <f t="shared" si="29"/>
        <v>#VALUE!</v>
      </c>
      <c r="CC57" s="46" t="e">
        <f t="shared" si="29"/>
        <v>#VALUE!</v>
      </c>
      <c r="CD57" s="46" t="e">
        <f t="shared" si="29"/>
        <v>#VALUE!</v>
      </c>
      <c r="CE57" s="46" t="e">
        <f t="shared" si="29"/>
        <v>#VALUE!</v>
      </c>
      <c r="CF57" s="46" t="e">
        <f t="shared" si="29"/>
        <v>#VALUE!</v>
      </c>
      <c r="CG57" s="46" t="e">
        <f t="shared" si="29"/>
        <v>#VALUE!</v>
      </c>
      <c r="CH57" s="46" t="e">
        <f t="shared" si="29"/>
        <v>#VALUE!</v>
      </c>
      <c r="CI57" s="46" t="e">
        <f t="shared" si="29"/>
        <v>#VALUE!</v>
      </c>
      <c r="CJ57" s="46" t="e">
        <f t="shared" si="29"/>
        <v>#VALUE!</v>
      </c>
      <c r="CK57" s="46" t="e">
        <f t="shared" si="29"/>
        <v>#VALUE!</v>
      </c>
      <c r="CL57" s="46" t="e">
        <f t="shared" si="29"/>
        <v>#VALUE!</v>
      </c>
      <c r="CM57" s="46" t="e">
        <f t="shared" si="29"/>
        <v>#VALUE!</v>
      </c>
      <c r="CN57" s="46" t="e">
        <f t="shared" si="29"/>
        <v>#VALUE!</v>
      </c>
      <c r="CO57" s="46" t="e">
        <f t="shared" si="29"/>
        <v>#VALUE!</v>
      </c>
      <c r="CP57" s="46" t="e">
        <f t="shared" si="29"/>
        <v>#VALUE!</v>
      </c>
      <c r="CQ57" s="46" t="e">
        <f t="shared" si="29"/>
        <v>#VALUE!</v>
      </c>
      <c r="CR57" s="46" t="e">
        <f t="shared" si="29"/>
        <v>#VALUE!</v>
      </c>
      <c r="CS57" s="46" t="e">
        <f t="shared" si="29"/>
        <v>#VALUE!</v>
      </c>
      <c r="CT57" s="46" t="e">
        <f t="shared" si="29"/>
        <v>#VALUE!</v>
      </c>
      <c r="CU57" s="46" t="e">
        <f t="shared" si="29"/>
        <v>#VALUE!</v>
      </c>
      <c r="CV57" s="46" t="e">
        <f t="shared" si="29"/>
        <v>#VALUE!</v>
      </c>
      <c r="CW57" s="46" t="e">
        <f t="shared" si="29"/>
        <v>#VALUE!</v>
      </c>
      <c r="CX57" s="46" t="e">
        <f t="shared" si="29"/>
        <v>#VALUE!</v>
      </c>
      <c r="CY57" s="46" t="e">
        <f t="shared" si="29"/>
        <v>#VALUE!</v>
      </c>
      <c r="CZ57" s="46" t="e">
        <f t="shared" si="29"/>
        <v>#VALUE!</v>
      </c>
      <c r="DA57" s="46" t="e">
        <f t="shared" si="29"/>
        <v>#VALUE!</v>
      </c>
    </row>
    <row r="58" spans="2:105" x14ac:dyDescent="0.25">
      <c r="B58" t="s">
        <v>7</v>
      </c>
      <c r="E58" s="46" t="e">
        <f>IF(ISNUMBER(FIND("R",$B$17)),(E32-E8)^2,(E31-E8)^2)</f>
        <v>#VALUE!</v>
      </c>
      <c r="F58" s="46" t="e">
        <f t="shared" ref="F58:BQ58" si="30">IF(ISNUMBER(FIND("R",$B$17)),(F32-F8)^2,(F31-F8)^2)</f>
        <v>#VALUE!</v>
      </c>
      <c r="G58" s="46" t="e">
        <f t="shared" si="30"/>
        <v>#VALUE!</v>
      </c>
      <c r="H58" s="46" t="e">
        <f t="shared" si="30"/>
        <v>#VALUE!</v>
      </c>
      <c r="I58" s="46" t="e">
        <f t="shared" si="30"/>
        <v>#VALUE!</v>
      </c>
      <c r="J58" s="46" t="e">
        <f t="shared" si="30"/>
        <v>#VALUE!</v>
      </c>
      <c r="K58" s="46" t="e">
        <f t="shared" si="30"/>
        <v>#VALUE!</v>
      </c>
      <c r="L58" s="46" t="e">
        <f t="shared" si="30"/>
        <v>#VALUE!</v>
      </c>
      <c r="M58" s="46" t="e">
        <f t="shared" si="30"/>
        <v>#VALUE!</v>
      </c>
      <c r="N58" s="46" t="e">
        <f t="shared" si="30"/>
        <v>#VALUE!</v>
      </c>
      <c r="O58" s="46" t="e">
        <f t="shared" si="30"/>
        <v>#VALUE!</v>
      </c>
      <c r="P58" s="46" t="e">
        <f t="shared" si="30"/>
        <v>#VALUE!</v>
      </c>
      <c r="Q58" s="46" t="e">
        <f t="shared" si="30"/>
        <v>#VALUE!</v>
      </c>
      <c r="R58" s="46" t="e">
        <f t="shared" si="30"/>
        <v>#VALUE!</v>
      </c>
      <c r="S58" s="46" t="e">
        <f t="shared" si="30"/>
        <v>#VALUE!</v>
      </c>
      <c r="T58" s="46" t="e">
        <f t="shared" si="30"/>
        <v>#VALUE!</v>
      </c>
      <c r="U58" s="46" t="e">
        <f t="shared" si="30"/>
        <v>#VALUE!</v>
      </c>
      <c r="V58" s="46" t="e">
        <f t="shared" si="30"/>
        <v>#VALUE!</v>
      </c>
      <c r="W58" s="46" t="e">
        <f t="shared" si="30"/>
        <v>#VALUE!</v>
      </c>
      <c r="X58" s="46" t="e">
        <f t="shared" si="30"/>
        <v>#VALUE!</v>
      </c>
      <c r="Y58" s="46" t="e">
        <f t="shared" si="30"/>
        <v>#VALUE!</v>
      </c>
      <c r="Z58" s="46" t="e">
        <f t="shared" si="30"/>
        <v>#VALUE!</v>
      </c>
      <c r="AA58" s="46" t="e">
        <f t="shared" si="30"/>
        <v>#VALUE!</v>
      </c>
      <c r="AB58" s="46" t="e">
        <f t="shared" si="30"/>
        <v>#VALUE!</v>
      </c>
      <c r="AC58" s="46" t="e">
        <f t="shared" si="30"/>
        <v>#VALUE!</v>
      </c>
      <c r="AD58" s="46" t="e">
        <f t="shared" si="30"/>
        <v>#VALUE!</v>
      </c>
      <c r="AE58" s="46" t="e">
        <f t="shared" si="30"/>
        <v>#VALUE!</v>
      </c>
      <c r="AF58" s="46" t="e">
        <f t="shared" si="30"/>
        <v>#VALUE!</v>
      </c>
      <c r="AG58" s="46" t="e">
        <f t="shared" si="30"/>
        <v>#VALUE!</v>
      </c>
      <c r="AH58" s="46" t="e">
        <f t="shared" si="30"/>
        <v>#VALUE!</v>
      </c>
      <c r="AI58" s="46" t="e">
        <f t="shared" si="30"/>
        <v>#VALUE!</v>
      </c>
      <c r="AJ58" s="46" t="e">
        <f t="shared" si="30"/>
        <v>#VALUE!</v>
      </c>
      <c r="AK58" s="46" t="e">
        <f t="shared" si="30"/>
        <v>#VALUE!</v>
      </c>
      <c r="AL58" s="46" t="e">
        <f t="shared" si="30"/>
        <v>#VALUE!</v>
      </c>
      <c r="AM58" s="46" t="e">
        <f t="shared" si="30"/>
        <v>#VALUE!</v>
      </c>
      <c r="AN58" s="46" t="e">
        <f t="shared" si="30"/>
        <v>#VALUE!</v>
      </c>
      <c r="AO58" s="46" t="e">
        <f t="shared" si="30"/>
        <v>#VALUE!</v>
      </c>
      <c r="AP58" s="46" t="e">
        <f t="shared" si="30"/>
        <v>#VALUE!</v>
      </c>
      <c r="AQ58" s="46" t="e">
        <f t="shared" si="30"/>
        <v>#VALUE!</v>
      </c>
      <c r="AR58" s="46" t="e">
        <f t="shared" si="30"/>
        <v>#VALUE!</v>
      </c>
      <c r="AS58" s="46" t="e">
        <f t="shared" si="30"/>
        <v>#VALUE!</v>
      </c>
      <c r="AT58" s="46" t="e">
        <f t="shared" si="30"/>
        <v>#VALUE!</v>
      </c>
      <c r="AU58" s="46" t="e">
        <f t="shared" si="30"/>
        <v>#VALUE!</v>
      </c>
      <c r="AV58" s="46" t="e">
        <f t="shared" si="30"/>
        <v>#VALUE!</v>
      </c>
      <c r="AW58" s="46" t="e">
        <f t="shared" si="30"/>
        <v>#VALUE!</v>
      </c>
      <c r="AX58" s="46" t="e">
        <f t="shared" si="30"/>
        <v>#VALUE!</v>
      </c>
      <c r="AY58" s="46" t="e">
        <f t="shared" si="30"/>
        <v>#VALUE!</v>
      </c>
      <c r="AZ58" s="46" t="e">
        <f t="shared" si="30"/>
        <v>#VALUE!</v>
      </c>
      <c r="BA58" s="46" t="e">
        <f t="shared" si="30"/>
        <v>#VALUE!</v>
      </c>
      <c r="BB58" s="46" t="e">
        <f t="shared" si="30"/>
        <v>#VALUE!</v>
      </c>
      <c r="BC58" s="46" t="e">
        <f t="shared" si="30"/>
        <v>#VALUE!</v>
      </c>
      <c r="BD58" s="46" t="e">
        <f t="shared" si="30"/>
        <v>#VALUE!</v>
      </c>
      <c r="BE58" s="46" t="e">
        <f t="shared" si="30"/>
        <v>#VALUE!</v>
      </c>
      <c r="BF58" s="46" t="e">
        <f t="shared" si="30"/>
        <v>#VALUE!</v>
      </c>
      <c r="BG58" s="46" t="e">
        <f t="shared" si="30"/>
        <v>#VALUE!</v>
      </c>
      <c r="BH58" s="46" t="e">
        <f t="shared" si="30"/>
        <v>#VALUE!</v>
      </c>
      <c r="BI58" s="46" t="e">
        <f t="shared" si="30"/>
        <v>#VALUE!</v>
      </c>
      <c r="BJ58" s="46" t="e">
        <f t="shared" si="30"/>
        <v>#VALUE!</v>
      </c>
      <c r="BK58" s="46" t="e">
        <f t="shared" si="30"/>
        <v>#VALUE!</v>
      </c>
      <c r="BL58" s="46" t="e">
        <f t="shared" si="30"/>
        <v>#VALUE!</v>
      </c>
      <c r="BM58" s="46" t="e">
        <f t="shared" si="30"/>
        <v>#VALUE!</v>
      </c>
      <c r="BN58" s="46" t="e">
        <f t="shared" si="30"/>
        <v>#VALUE!</v>
      </c>
      <c r="BO58" s="46" t="e">
        <f t="shared" si="30"/>
        <v>#VALUE!</v>
      </c>
      <c r="BP58" s="46" t="e">
        <f t="shared" si="30"/>
        <v>#VALUE!</v>
      </c>
      <c r="BQ58" s="46" t="e">
        <f t="shared" si="30"/>
        <v>#VALUE!</v>
      </c>
      <c r="BR58" s="46" t="e">
        <f t="shared" ref="BR58:DA58" si="31">IF(ISNUMBER(FIND("R",$B$17)),(BR32-BR8)^2,(BR31-BR8)^2)</f>
        <v>#VALUE!</v>
      </c>
      <c r="BS58" s="46" t="e">
        <f t="shared" si="31"/>
        <v>#VALUE!</v>
      </c>
      <c r="BT58" s="46" t="e">
        <f t="shared" si="31"/>
        <v>#VALUE!</v>
      </c>
      <c r="BU58" s="46" t="e">
        <f t="shared" si="31"/>
        <v>#VALUE!</v>
      </c>
      <c r="BV58" s="46" t="e">
        <f t="shared" si="31"/>
        <v>#VALUE!</v>
      </c>
      <c r="BW58" s="46" t="e">
        <f t="shared" si="31"/>
        <v>#VALUE!</v>
      </c>
      <c r="BX58" s="46" t="e">
        <f t="shared" si="31"/>
        <v>#VALUE!</v>
      </c>
      <c r="BY58" s="46" t="e">
        <f t="shared" si="31"/>
        <v>#VALUE!</v>
      </c>
      <c r="BZ58" s="46" t="e">
        <f t="shared" si="31"/>
        <v>#VALUE!</v>
      </c>
      <c r="CA58" s="46" t="e">
        <f t="shared" si="31"/>
        <v>#VALUE!</v>
      </c>
      <c r="CB58" s="46" t="e">
        <f t="shared" si="31"/>
        <v>#VALUE!</v>
      </c>
      <c r="CC58" s="46" t="e">
        <f t="shared" si="31"/>
        <v>#VALUE!</v>
      </c>
      <c r="CD58" s="46" t="e">
        <f t="shared" si="31"/>
        <v>#VALUE!</v>
      </c>
      <c r="CE58" s="46" t="e">
        <f t="shared" si="31"/>
        <v>#VALUE!</v>
      </c>
      <c r="CF58" s="46" t="e">
        <f t="shared" si="31"/>
        <v>#VALUE!</v>
      </c>
      <c r="CG58" s="46" t="e">
        <f t="shared" si="31"/>
        <v>#VALUE!</v>
      </c>
      <c r="CH58" s="46" t="e">
        <f t="shared" si="31"/>
        <v>#VALUE!</v>
      </c>
      <c r="CI58" s="46" t="e">
        <f t="shared" si="31"/>
        <v>#VALUE!</v>
      </c>
      <c r="CJ58" s="46" t="e">
        <f t="shared" si="31"/>
        <v>#VALUE!</v>
      </c>
      <c r="CK58" s="46" t="e">
        <f t="shared" si="31"/>
        <v>#VALUE!</v>
      </c>
      <c r="CL58" s="46" t="e">
        <f t="shared" si="31"/>
        <v>#VALUE!</v>
      </c>
      <c r="CM58" s="46" t="e">
        <f t="shared" si="31"/>
        <v>#VALUE!</v>
      </c>
      <c r="CN58" s="46" t="e">
        <f t="shared" si="31"/>
        <v>#VALUE!</v>
      </c>
      <c r="CO58" s="46" t="e">
        <f t="shared" si="31"/>
        <v>#VALUE!</v>
      </c>
      <c r="CP58" s="46" t="e">
        <f t="shared" si="31"/>
        <v>#VALUE!</v>
      </c>
      <c r="CQ58" s="46" t="e">
        <f t="shared" si="31"/>
        <v>#VALUE!</v>
      </c>
      <c r="CR58" s="46" t="e">
        <f t="shared" si="31"/>
        <v>#VALUE!</v>
      </c>
      <c r="CS58" s="46" t="e">
        <f t="shared" si="31"/>
        <v>#VALUE!</v>
      </c>
      <c r="CT58" s="46" t="e">
        <f t="shared" si="31"/>
        <v>#VALUE!</v>
      </c>
      <c r="CU58" s="46" t="e">
        <f t="shared" si="31"/>
        <v>#VALUE!</v>
      </c>
      <c r="CV58" s="46" t="e">
        <f t="shared" si="31"/>
        <v>#VALUE!</v>
      </c>
      <c r="CW58" s="46" t="e">
        <f t="shared" si="31"/>
        <v>#VALUE!</v>
      </c>
      <c r="CX58" s="46" t="e">
        <f t="shared" si="31"/>
        <v>#VALUE!</v>
      </c>
      <c r="CY58" s="46" t="e">
        <f t="shared" si="31"/>
        <v>#VALUE!</v>
      </c>
      <c r="CZ58" s="46" t="e">
        <f t="shared" si="31"/>
        <v>#VALUE!</v>
      </c>
      <c r="DA58" s="46" t="e">
        <f t="shared" si="31"/>
        <v>#VALUE!</v>
      </c>
    </row>
    <row r="59" spans="2:105" x14ac:dyDescent="0.25">
      <c r="B59" t="s">
        <v>10</v>
      </c>
      <c r="E59" s="46" t="e">
        <f>IF(ISNUMBER(FIND("R",$B$17)),(E33-E9)^2,(E34-E9)^2)</f>
        <v>#VALUE!</v>
      </c>
      <c r="F59" s="46" t="e">
        <f t="shared" ref="F59:BQ59" si="32">IF(ISNUMBER(FIND("R",$B$17)),(F33-F9)^2,(F34-F9)^2)</f>
        <v>#VALUE!</v>
      </c>
      <c r="G59" s="46" t="e">
        <f t="shared" si="32"/>
        <v>#VALUE!</v>
      </c>
      <c r="H59" s="46" t="e">
        <f t="shared" si="32"/>
        <v>#VALUE!</v>
      </c>
      <c r="I59" s="46" t="e">
        <f t="shared" si="32"/>
        <v>#VALUE!</v>
      </c>
      <c r="J59" s="46" t="e">
        <f t="shared" si="32"/>
        <v>#VALUE!</v>
      </c>
      <c r="K59" s="46" t="e">
        <f t="shared" si="32"/>
        <v>#VALUE!</v>
      </c>
      <c r="L59" s="46" t="e">
        <f t="shared" si="32"/>
        <v>#VALUE!</v>
      </c>
      <c r="M59" s="46" t="e">
        <f t="shared" si="32"/>
        <v>#VALUE!</v>
      </c>
      <c r="N59" s="46" t="e">
        <f t="shared" si="32"/>
        <v>#VALUE!</v>
      </c>
      <c r="O59" s="46" t="e">
        <f t="shared" si="32"/>
        <v>#VALUE!</v>
      </c>
      <c r="P59" s="46" t="e">
        <f t="shared" si="32"/>
        <v>#VALUE!</v>
      </c>
      <c r="Q59" s="46" t="e">
        <f t="shared" si="32"/>
        <v>#VALUE!</v>
      </c>
      <c r="R59" s="46" t="e">
        <f t="shared" si="32"/>
        <v>#VALUE!</v>
      </c>
      <c r="S59" s="46" t="e">
        <f t="shared" si="32"/>
        <v>#VALUE!</v>
      </c>
      <c r="T59" s="46" t="e">
        <f t="shared" si="32"/>
        <v>#VALUE!</v>
      </c>
      <c r="U59" s="46" t="e">
        <f t="shared" si="32"/>
        <v>#VALUE!</v>
      </c>
      <c r="V59" s="46" t="e">
        <f t="shared" si="32"/>
        <v>#VALUE!</v>
      </c>
      <c r="W59" s="46" t="e">
        <f t="shared" si="32"/>
        <v>#VALUE!</v>
      </c>
      <c r="X59" s="46" t="e">
        <f t="shared" si="32"/>
        <v>#VALUE!</v>
      </c>
      <c r="Y59" s="46" t="e">
        <f t="shared" si="32"/>
        <v>#VALUE!</v>
      </c>
      <c r="Z59" s="46" t="e">
        <f t="shared" si="32"/>
        <v>#VALUE!</v>
      </c>
      <c r="AA59" s="46" t="e">
        <f t="shared" si="32"/>
        <v>#VALUE!</v>
      </c>
      <c r="AB59" s="46" t="e">
        <f t="shared" si="32"/>
        <v>#VALUE!</v>
      </c>
      <c r="AC59" s="46" t="e">
        <f t="shared" si="32"/>
        <v>#VALUE!</v>
      </c>
      <c r="AD59" s="46" t="e">
        <f t="shared" si="32"/>
        <v>#VALUE!</v>
      </c>
      <c r="AE59" s="46" t="e">
        <f t="shared" si="32"/>
        <v>#VALUE!</v>
      </c>
      <c r="AF59" s="46" t="e">
        <f t="shared" si="32"/>
        <v>#VALUE!</v>
      </c>
      <c r="AG59" s="46" t="e">
        <f t="shared" si="32"/>
        <v>#VALUE!</v>
      </c>
      <c r="AH59" s="46" t="e">
        <f t="shared" si="32"/>
        <v>#VALUE!</v>
      </c>
      <c r="AI59" s="46" t="e">
        <f t="shared" si="32"/>
        <v>#VALUE!</v>
      </c>
      <c r="AJ59" s="46" t="e">
        <f t="shared" si="32"/>
        <v>#VALUE!</v>
      </c>
      <c r="AK59" s="46" t="e">
        <f t="shared" si="32"/>
        <v>#VALUE!</v>
      </c>
      <c r="AL59" s="46" t="e">
        <f t="shared" si="32"/>
        <v>#VALUE!</v>
      </c>
      <c r="AM59" s="46" t="e">
        <f t="shared" si="32"/>
        <v>#VALUE!</v>
      </c>
      <c r="AN59" s="46" t="e">
        <f t="shared" si="32"/>
        <v>#VALUE!</v>
      </c>
      <c r="AO59" s="46" t="e">
        <f t="shared" si="32"/>
        <v>#VALUE!</v>
      </c>
      <c r="AP59" s="46" t="e">
        <f t="shared" si="32"/>
        <v>#VALUE!</v>
      </c>
      <c r="AQ59" s="46" t="e">
        <f t="shared" si="32"/>
        <v>#VALUE!</v>
      </c>
      <c r="AR59" s="46" t="e">
        <f t="shared" si="32"/>
        <v>#VALUE!</v>
      </c>
      <c r="AS59" s="46" t="e">
        <f t="shared" si="32"/>
        <v>#VALUE!</v>
      </c>
      <c r="AT59" s="46" t="e">
        <f t="shared" si="32"/>
        <v>#VALUE!</v>
      </c>
      <c r="AU59" s="46" t="e">
        <f t="shared" si="32"/>
        <v>#VALUE!</v>
      </c>
      <c r="AV59" s="46" t="e">
        <f t="shared" si="32"/>
        <v>#VALUE!</v>
      </c>
      <c r="AW59" s="46" t="e">
        <f t="shared" si="32"/>
        <v>#VALUE!</v>
      </c>
      <c r="AX59" s="46" t="e">
        <f t="shared" si="32"/>
        <v>#VALUE!</v>
      </c>
      <c r="AY59" s="46" t="e">
        <f t="shared" si="32"/>
        <v>#VALUE!</v>
      </c>
      <c r="AZ59" s="46" t="e">
        <f t="shared" si="32"/>
        <v>#VALUE!</v>
      </c>
      <c r="BA59" s="46" t="e">
        <f t="shared" si="32"/>
        <v>#VALUE!</v>
      </c>
      <c r="BB59" s="46" t="e">
        <f t="shared" si="32"/>
        <v>#VALUE!</v>
      </c>
      <c r="BC59" s="46" t="e">
        <f t="shared" si="32"/>
        <v>#VALUE!</v>
      </c>
      <c r="BD59" s="46" t="e">
        <f t="shared" si="32"/>
        <v>#VALUE!</v>
      </c>
      <c r="BE59" s="46" t="e">
        <f t="shared" si="32"/>
        <v>#VALUE!</v>
      </c>
      <c r="BF59" s="46" t="e">
        <f t="shared" si="32"/>
        <v>#VALUE!</v>
      </c>
      <c r="BG59" s="46" t="e">
        <f t="shared" si="32"/>
        <v>#VALUE!</v>
      </c>
      <c r="BH59" s="46" t="e">
        <f t="shared" si="32"/>
        <v>#VALUE!</v>
      </c>
      <c r="BI59" s="46" t="e">
        <f t="shared" si="32"/>
        <v>#VALUE!</v>
      </c>
      <c r="BJ59" s="46" t="e">
        <f t="shared" si="32"/>
        <v>#VALUE!</v>
      </c>
      <c r="BK59" s="46" t="e">
        <f t="shared" si="32"/>
        <v>#VALUE!</v>
      </c>
      <c r="BL59" s="46" t="e">
        <f t="shared" si="32"/>
        <v>#VALUE!</v>
      </c>
      <c r="BM59" s="46" t="e">
        <f t="shared" si="32"/>
        <v>#VALUE!</v>
      </c>
      <c r="BN59" s="46" t="e">
        <f t="shared" si="32"/>
        <v>#VALUE!</v>
      </c>
      <c r="BO59" s="46" t="e">
        <f t="shared" si="32"/>
        <v>#VALUE!</v>
      </c>
      <c r="BP59" s="46" t="e">
        <f t="shared" si="32"/>
        <v>#VALUE!</v>
      </c>
      <c r="BQ59" s="46" t="e">
        <f t="shared" si="32"/>
        <v>#VALUE!</v>
      </c>
      <c r="BR59" s="46" t="e">
        <f t="shared" ref="BR59:DA59" si="33">IF(ISNUMBER(FIND("R",$B$17)),(BR33-BR9)^2,(BR34-BR9)^2)</f>
        <v>#VALUE!</v>
      </c>
      <c r="BS59" s="46" t="e">
        <f t="shared" si="33"/>
        <v>#VALUE!</v>
      </c>
      <c r="BT59" s="46" t="e">
        <f t="shared" si="33"/>
        <v>#VALUE!</v>
      </c>
      <c r="BU59" s="46" t="e">
        <f t="shared" si="33"/>
        <v>#VALUE!</v>
      </c>
      <c r="BV59" s="46" t="e">
        <f t="shared" si="33"/>
        <v>#VALUE!</v>
      </c>
      <c r="BW59" s="46" t="e">
        <f t="shared" si="33"/>
        <v>#VALUE!</v>
      </c>
      <c r="BX59" s="46" t="e">
        <f t="shared" si="33"/>
        <v>#VALUE!</v>
      </c>
      <c r="BY59" s="46" t="e">
        <f t="shared" si="33"/>
        <v>#VALUE!</v>
      </c>
      <c r="BZ59" s="46" t="e">
        <f t="shared" si="33"/>
        <v>#VALUE!</v>
      </c>
      <c r="CA59" s="46" t="e">
        <f t="shared" si="33"/>
        <v>#VALUE!</v>
      </c>
      <c r="CB59" s="46" t="e">
        <f t="shared" si="33"/>
        <v>#VALUE!</v>
      </c>
      <c r="CC59" s="46" t="e">
        <f t="shared" si="33"/>
        <v>#VALUE!</v>
      </c>
      <c r="CD59" s="46" t="e">
        <f t="shared" si="33"/>
        <v>#VALUE!</v>
      </c>
      <c r="CE59" s="46" t="e">
        <f t="shared" si="33"/>
        <v>#VALUE!</v>
      </c>
      <c r="CF59" s="46" t="e">
        <f t="shared" si="33"/>
        <v>#VALUE!</v>
      </c>
      <c r="CG59" s="46" t="e">
        <f t="shared" si="33"/>
        <v>#VALUE!</v>
      </c>
      <c r="CH59" s="46" t="e">
        <f t="shared" si="33"/>
        <v>#VALUE!</v>
      </c>
      <c r="CI59" s="46" t="e">
        <f t="shared" si="33"/>
        <v>#VALUE!</v>
      </c>
      <c r="CJ59" s="46" t="e">
        <f t="shared" si="33"/>
        <v>#VALUE!</v>
      </c>
      <c r="CK59" s="46" t="e">
        <f t="shared" si="33"/>
        <v>#VALUE!</v>
      </c>
      <c r="CL59" s="46" t="e">
        <f t="shared" si="33"/>
        <v>#VALUE!</v>
      </c>
      <c r="CM59" s="46" t="e">
        <f t="shared" si="33"/>
        <v>#VALUE!</v>
      </c>
      <c r="CN59" s="46" t="e">
        <f t="shared" si="33"/>
        <v>#VALUE!</v>
      </c>
      <c r="CO59" s="46" t="e">
        <f t="shared" si="33"/>
        <v>#VALUE!</v>
      </c>
      <c r="CP59" s="46" t="e">
        <f t="shared" si="33"/>
        <v>#VALUE!</v>
      </c>
      <c r="CQ59" s="46" t="e">
        <f t="shared" si="33"/>
        <v>#VALUE!</v>
      </c>
      <c r="CR59" s="46" t="e">
        <f t="shared" si="33"/>
        <v>#VALUE!</v>
      </c>
      <c r="CS59" s="46" t="e">
        <f t="shared" si="33"/>
        <v>#VALUE!</v>
      </c>
      <c r="CT59" s="46" t="e">
        <f t="shared" si="33"/>
        <v>#VALUE!</v>
      </c>
      <c r="CU59" s="46" t="e">
        <f t="shared" si="33"/>
        <v>#VALUE!</v>
      </c>
      <c r="CV59" s="46" t="e">
        <f t="shared" si="33"/>
        <v>#VALUE!</v>
      </c>
      <c r="CW59" s="46" t="e">
        <f t="shared" si="33"/>
        <v>#VALUE!</v>
      </c>
      <c r="CX59" s="46" t="e">
        <f t="shared" si="33"/>
        <v>#VALUE!</v>
      </c>
      <c r="CY59" s="46" t="e">
        <f t="shared" si="33"/>
        <v>#VALUE!</v>
      </c>
      <c r="CZ59" s="46" t="e">
        <f t="shared" si="33"/>
        <v>#VALUE!</v>
      </c>
      <c r="DA59" s="46" t="e">
        <f t="shared" si="33"/>
        <v>#VALUE!</v>
      </c>
    </row>
    <row r="60" spans="2:105" x14ac:dyDescent="0.25">
      <c r="B60" t="s">
        <v>9</v>
      </c>
      <c r="E60" s="46" t="e">
        <f>IF(ISNUMBER(FIND("R",$B$17)),(E34-E9)^2,(E33-E9)^2)</f>
        <v>#VALUE!</v>
      </c>
      <c r="F60" s="46" t="e">
        <f t="shared" ref="F60:BQ60" si="34">IF(ISNUMBER(FIND("R",$B$17)),(F34-F9)^2,(F33-F9)^2)</f>
        <v>#VALUE!</v>
      </c>
      <c r="G60" s="46" t="e">
        <f t="shared" si="34"/>
        <v>#VALUE!</v>
      </c>
      <c r="H60" s="46" t="e">
        <f t="shared" si="34"/>
        <v>#VALUE!</v>
      </c>
      <c r="I60" s="46" t="e">
        <f t="shared" si="34"/>
        <v>#VALUE!</v>
      </c>
      <c r="J60" s="46" t="e">
        <f t="shared" si="34"/>
        <v>#VALUE!</v>
      </c>
      <c r="K60" s="46" t="e">
        <f t="shared" si="34"/>
        <v>#VALUE!</v>
      </c>
      <c r="L60" s="46" t="e">
        <f t="shared" si="34"/>
        <v>#VALUE!</v>
      </c>
      <c r="M60" s="46" t="e">
        <f t="shared" si="34"/>
        <v>#VALUE!</v>
      </c>
      <c r="N60" s="46" t="e">
        <f t="shared" si="34"/>
        <v>#VALUE!</v>
      </c>
      <c r="O60" s="46" t="e">
        <f t="shared" si="34"/>
        <v>#VALUE!</v>
      </c>
      <c r="P60" s="46" t="e">
        <f t="shared" si="34"/>
        <v>#VALUE!</v>
      </c>
      <c r="Q60" s="46" t="e">
        <f t="shared" si="34"/>
        <v>#VALUE!</v>
      </c>
      <c r="R60" s="46" t="e">
        <f t="shared" si="34"/>
        <v>#VALUE!</v>
      </c>
      <c r="S60" s="46" t="e">
        <f t="shared" si="34"/>
        <v>#VALUE!</v>
      </c>
      <c r="T60" s="46" t="e">
        <f t="shared" si="34"/>
        <v>#VALUE!</v>
      </c>
      <c r="U60" s="46" t="e">
        <f t="shared" si="34"/>
        <v>#VALUE!</v>
      </c>
      <c r="V60" s="46" t="e">
        <f t="shared" si="34"/>
        <v>#VALUE!</v>
      </c>
      <c r="W60" s="46" t="e">
        <f t="shared" si="34"/>
        <v>#VALUE!</v>
      </c>
      <c r="X60" s="46" t="e">
        <f t="shared" si="34"/>
        <v>#VALUE!</v>
      </c>
      <c r="Y60" s="46" t="e">
        <f t="shared" si="34"/>
        <v>#VALUE!</v>
      </c>
      <c r="Z60" s="46" t="e">
        <f t="shared" si="34"/>
        <v>#VALUE!</v>
      </c>
      <c r="AA60" s="46" t="e">
        <f t="shared" si="34"/>
        <v>#VALUE!</v>
      </c>
      <c r="AB60" s="46" t="e">
        <f t="shared" si="34"/>
        <v>#VALUE!</v>
      </c>
      <c r="AC60" s="46" t="e">
        <f t="shared" si="34"/>
        <v>#VALUE!</v>
      </c>
      <c r="AD60" s="46" t="e">
        <f t="shared" si="34"/>
        <v>#VALUE!</v>
      </c>
      <c r="AE60" s="46" t="e">
        <f t="shared" si="34"/>
        <v>#VALUE!</v>
      </c>
      <c r="AF60" s="46" t="e">
        <f t="shared" si="34"/>
        <v>#VALUE!</v>
      </c>
      <c r="AG60" s="46" t="e">
        <f t="shared" si="34"/>
        <v>#VALUE!</v>
      </c>
      <c r="AH60" s="46" t="e">
        <f t="shared" si="34"/>
        <v>#VALUE!</v>
      </c>
      <c r="AI60" s="46" t="e">
        <f t="shared" si="34"/>
        <v>#VALUE!</v>
      </c>
      <c r="AJ60" s="46" t="e">
        <f t="shared" si="34"/>
        <v>#VALUE!</v>
      </c>
      <c r="AK60" s="46" t="e">
        <f t="shared" si="34"/>
        <v>#VALUE!</v>
      </c>
      <c r="AL60" s="46" t="e">
        <f t="shared" si="34"/>
        <v>#VALUE!</v>
      </c>
      <c r="AM60" s="46" t="e">
        <f t="shared" si="34"/>
        <v>#VALUE!</v>
      </c>
      <c r="AN60" s="46" t="e">
        <f t="shared" si="34"/>
        <v>#VALUE!</v>
      </c>
      <c r="AO60" s="46" t="e">
        <f t="shared" si="34"/>
        <v>#VALUE!</v>
      </c>
      <c r="AP60" s="46" t="e">
        <f t="shared" si="34"/>
        <v>#VALUE!</v>
      </c>
      <c r="AQ60" s="46" t="e">
        <f t="shared" si="34"/>
        <v>#VALUE!</v>
      </c>
      <c r="AR60" s="46" t="e">
        <f t="shared" si="34"/>
        <v>#VALUE!</v>
      </c>
      <c r="AS60" s="46" t="e">
        <f t="shared" si="34"/>
        <v>#VALUE!</v>
      </c>
      <c r="AT60" s="46" t="e">
        <f t="shared" si="34"/>
        <v>#VALUE!</v>
      </c>
      <c r="AU60" s="46" t="e">
        <f t="shared" si="34"/>
        <v>#VALUE!</v>
      </c>
      <c r="AV60" s="46" t="e">
        <f t="shared" si="34"/>
        <v>#VALUE!</v>
      </c>
      <c r="AW60" s="46" t="e">
        <f t="shared" si="34"/>
        <v>#VALUE!</v>
      </c>
      <c r="AX60" s="46" t="e">
        <f t="shared" si="34"/>
        <v>#VALUE!</v>
      </c>
      <c r="AY60" s="46" t="e">
        <f t="shared" si="34"/>
        <v>#VALUE!</v>
      </c>
      <c r="AZ60" s="46" t="e">
        <f t="shared" si="34"/>
        <v>#VALUE!</v>
      </c>
      <c r="BA60" s="46" t="e">
        <f t="shared" si="34"/>
        <v>#VALUE!</v>
      </c>
      <c r="BB60" s="46" t="e">
        <f t="shared" si="34"/>
        <v>#VALUE!</v>
      </c>
      <c r="BC60" s="46" t="e">
        <f t="shared" si="34"/>
        <v>#VALUE!</v>
      </c>
      <c r="BD60" s="46" t="e">
        <f t="shared" si="34"/>
        <v>#VALUE!</v>
      </c>
      <c r="BE60" s="46" t="e">
        <f t="shared" si="34"/>
        <v>#VALUE!</v>
      </c>
      <c r="BF60" s="46" t="e">
        <f t="shared" si="34"/>
        <v>#VALUE!</v>
      </c>
      <c r="BG60" s="46" t="e">
        <f t="shared" si="34"/>
        <v>#VALUE!</v>
      </c>
      <c r="BH60" s="46" t="e">
        <f t="shared" si="34"/>
        <v>#VALUE!</v>
      </c>
      <c r="BI60" s="46" t="e">
        <f t="shared" si="34"/>
        <v>#VALUE!</v>
      </c>
      <c r="BJ60" s="46" t="e">
        <f t="shared" si="34"/>
        <v>#VALUE!</v>
      </c>
      <c r="BK60" s="46" t="e">
        <f t="shared" si="34"/>
        <v>#VALUE!</v>
      </c>
      <c r="BL60" s="46" t="e">
        <f t="shared" si="34"/>
        <v>#VALUE!</v>
      </c>
      <c r="BM60" s="46" t="e">
        <f t="shared" si="34"/>
        <v>#VALUE!</v>
      </c>
      <c r="BN60" s="46" t="e">
        <f t="shared" si="34"/>
        <v>#VALUE!</v>
      </c>
      <c r="BO60" s="46" t="e">
        <f t="shared" si="34"/>
        <v>#VALUE!</v>
      </c>
      <c r="BP60" s="46" t="e">
        <f t="shared" si="34"/>
        <v>#VALUE!</v>
      </c>
      <c r="BQ60" s="46" t="e">
        <f t="shared" si="34"/>
        <v>#VALUE!</v>
      </c>
      <c r="BR60" s="46" t="e">
        <f t="shared" ref="BR60:DA60" si="35">IF(ISNUMBER(FIND("R",$B$17)),(BR34-BR9)^2,(BR33-BR9)^2)</f>
        <v>#VALUE!</v>
      </c>
      <c r="BS60" s="46" t="e">
        <f t="shared" si="35"/>
        <v>#VALUE!</v>
      </c>
      <c r="BT60" s="46" t="e">
        <f t="shared" si="35"/>
        <v>#VALUE!</v>
      </c>
      <c r="BU60" s="46" t="e">
        <f t="shared" si="35"/>
        <v>#VALUE!</v>
      </c>
      <c r="BV60" s="46" t="e">
        <f t="shared" si="35"/>
        <v>#VALUE!</v>
      </c>
      <c r="BW60" s="46" t="e">
        <f t="shared" si="35"/>
        <v>#VALUE!</v>
      </c>
      <c r="BX60" s="46" t="e">
        <f t="shared" si="35"/>
        <v>#VALUE!</v>
      </c>
      <c r="BY60" s="46" t="e">
        <f t="shared" si="35"/>
        <v>#VALUE!</v>
      </c>
      <c r="BZ60" s="46" t="e">
        <f t="shared" si="35"/>
        <v>#VALUE!</v>
      </c>
      <c r="CA60" s="46" t="e">
        <f t="shared" si="35"/>
        <v>#VALUE!</v>
      </c>
      <c r="CB60" s="46" t="e">
        <f t="shared" si="35"/>
        <v>#VALUE!</v>
      </c>
      <c r="CC60" s="46" t="e">
        <f t="shared" si="35"/>
        <v>#VALUE!</v>
      </c>
      <c r="CD60" s="46" t="e">
        <f t="shared" si="35"/>
        <v>#VALUE!</v>
      </c>
      <c r="CE60" s="46" t="e">
        <f t="shared" si="35"/>
        <v>#VALUE!</v>
      </c>
      <c r="CF60" s="46" t="e">
        <f t="shared" si="35"/>
        <v>#VALUE!</v>
      </c>
      <c r="CG60" s="46" t="e">
        <f t="shared" si="35"/>
        <v>#VALUE!</v>
      </c>
      <c r="CH60" s="46" t="e">
        <f t="shared" si="35"/>
        <v>#VALUE!</v>
      </c>
      <c r="CI60" s="46" t="e">
        <f t="shared" si="35"/>
        <v>#VALUE!</v>
      </c>
      <c r="CJ60" s="46" t="e">
        <f t="shared" si="35"/>
        <v>#VALUE!</v>
      </c>
      <c r="CK60" s="46" t="e">
        <f t="shared" si="35"/>
        <v>#VALUE!</v>
      </c>
      <c r="CL60" s="46" t="e">
        <f t="shared" si="35"/>
        <v>#VALUE!</v>
      </c>
      <c r="CM60" s="46" t="e">
        <f t="shared" si="35"/>
        <v>#VALUE!</v>
      </c>
      <c r="CN60" s="46" t="e">
        <f t="shared" si="35"/>
        <v>#VALUE!</v>
      </c>
      <c r="CO60" s="46" t="e">
        <f t="shared" si="35"/>
        <v>#VALUE!</v>
      </c>
      <c r="CP60" s="46" t="e">
        <f t="shared" si="35"/>
        <v>#VALUE!</v>
      </c>
      <c r="CQ60" s="46" t="e">
        <f t="shared" si="35"/>
        <v>#VALUE!</v>
      </c>
      <c r="CR60" s="46" t="e">
        <f t="shared" si="35"/>
        <v>#VALUE!</v>
      </c>
      <c r="CS60" s="46" t="e">
        <f t="shared" si="35"/>
        <v>#VALUE!</v>
      </c>
      <c r="CT60" s="46" t="e">
        <f t="shared" si="35"/>
        <v>#VALUE!</v>
      </c>
      <c r="CU60" s="46" t="e">
        <f t="shared" si="35"/>
        <v>#VALUE!</v>
      </c>
      <c r="CV60" s="46" t="e">
        <f t="shared" si="35"/>
        <v>#VALUE!</v>
      </c>
      <c r="CW60" s="46" t="e">
        <f t="shared" si="35"/>
        <v>#VALUE!</v>
      </c>
      <c r="CX60" s="46" t="e">
        <f t="shared" si="35"/>
        <v>#VALUE!</v>
      </c>
      <c r="CY60" s="46" t="e">
        <f t="shared" si="35"/>
        <v>#VALUE!</v>
      </c>
      <c r="CZ60" s="46" t="e">
        <f t="shared" si="35"/>
        <v>#VALUE!</v>
      </c>
      <c r="DA60" s="46" t="e">
        <f t="shared" si="35"/>
        <v>#VALUE!</v>
      </c>
    </row>
    <row r="61" spans="2:105" x14ac:dyDescent="0.25">
      <c r="B61" t="s">
        <v>12</v>
      </c>
      <c r="E61" s="46" t="e">
        <f>IF(ISNUMBER(FIND("R",$B$17)),(E35-E10)^2,(E36-E10)^2)</f>
        <v>#VALUE!</v>
      </c>
      <c r="F61" s="46" t="e">
        <f t="shared" ref="F61:BQ61" si="36">IF(ISNUMBER(FIND("R",$B$17)),(F35-F10)^2,(F36-F10)^2)</f>
        <v>#VALUE!</v>
      </c>
      <c r="G61" s="46" t="e">
        <f t="shared" si="36"/>
        <v>#VALUE!</v>
      </c>
      <c r="H61" s="46" t="e">
        <f t="shared" si="36"/>
        <v>#VALUE!</v>
      </c>
      <c r="I61" s="46" t="e">
        <f t="shared" si="36"/>
        <v>#VALUE!</v>
      </c>
      <c r="J61" s="46" t="e">
        <f t="shared" si="36"/>
        <v>#VALUE!</v>
      </c>
      <c r="K61" s="46" t="e">
        <f t="shared" si="36"/>
        <v>#VALUE!</v>
      </c>
      <c r="L61" s="46" t="e">
        <f t="shared" si="36"/>
        <v>#VALUE!</v>
      </c>
      <c r="M61" s="46" t="e">
        <f t="shared" si="36"/>
        <v>#VALUE!</v>
      </c>
      <c r="N61" s="46" t="e">
        <f t="shared" si="36"/>
        <v>#VALUE!</v>
      </c>
      <c r="O61" s="46" t="e">
        <f t="shared" si="36"/>
        <v>#VALUE!</v>
      </c>
      <c r="P61" s="46" t="e">
        <f t="shared" si="36"/>
        <v>#VALUE!</v>
      </c>
      <c r="Q61" s="46" t="e">
        <f t="shared" si="36"/>
        <v>#VALUE!</v>
      </c>
      <c r="R61" s="46" t="e">
        <f t="shared" si="36"/>
        <v>#VALUE!</v>
      </c>
      <c r="S61" s="46" t="e">
        <f t="shared" si="36"/>
        <v>#VALUE!</v>
      </c>
      <c r="T61" s="46" t="e">
        <f t="shared" si="36"/>
        <v>#VALUE!</v>
      </c>
      <c r="U61" s="46" t="e">
        <f t="shared" si="36"/>
        <v>#VALUE!</v>
      </c>
      <c r="V61" s="46" t="e">
        <f t="shared" si="36"/>
        <v>#VALUE!</v>
      </c>
      <c r="W61" s="46" t="e">
        <f t="shared" si="36"/>
        <v>#VALUE!</v>
      </c>
      <c r="X61" s="46" t="e">
        <f t="shared" si="36"/>
        <v>#VALUE!</v>
      </c>
      <c r="Y61" s="46" t="e">
        <f t="shared" si="36"/>
        <v>#VALUE!</v>
      </c>
      <c r="Z61" s="46" t="e">
        <f t="shared" si="36"/>
        <v>#VALUE!</v>
      </c>
      <c r="AA61" s="46" t="e">
        <f t="shared" si="36"/>
        <v>#VALUE!</v>
      </c>
      <c r="AB61" s="46" t="e">
        <f t="shared" si="36"/>
        <v>#VALUE!</v>
      </c>
      <c r="AC61" s="46" t="e">
        <f t="shared" si="36"/>
        <v>#VALUE!</v>
      </c>
      <c r="AD61" s="46" t="e">
        <f t="shared" si="36"/>
        <v>#VALUE!</v>
      </c>
      <c r="AE61" s="46" t="e">
        <f t="shared" si="36"/>
        <v>#VALUE!</v>
      </c>
      <c r="AF61" s="46" t="e">
        <f t="shared" si="36"/>
        <v>#VALUE!</v>
      </c>
      <c r="AG61" s="46" t="e">
        <f t="shared" si="36"/>
        <v>#VALUE!</v>
      </c>
      <c r="AH61" s="46" t="e">
        <f t="shared" si="36"/>
        <v>#VALUE!</v>
      </c>
      <c r="AI61" s="46" t="e">
        <f t="shared" si="36"/>
        <v>#VALUE!</v>
      </c>
      <c r="AJ61" s="46" t="e">
        <f t="shared" si="36"/>
        <v>#VALUE!</v>
      </c>
      <c r="AK61" s="46" t="e">
        <f t="shared" si="36"/>
        <v>#VALUE!</v>
      </c>
      <c r="AL61" s="46" t="e">
        <f t="shared" si="36"/>
        <v>#VALUE!</v>
      </c>
      <c r="AM61" s="46" t="e">
        <f t="shared" si="36"/>
        <v>#VALUE!</v>
      </c>
      <c r="AN61" s="46" t="e">
        <f t="shared" si="36"/>
        <v>#VALUE!</v>
      </c>
      <c r="AO61" s="46" t="e">
        <f t="shared" si="36"/>
        <v>#VALUE!</v>
      </c>
      <c r="AP61" s="46" t="e">
        <f t="shared" si="36"/>
        <v>#VALUE!</v>
      </c>
      <c r="AQ61" s="46" t="e">
        <f t="shared" si="36"/>
        <v>#VALUE!</v>
      </c>
      <c r="AR61" s="46" t="e">
        <f t="shared" si="36"/>
        <v>#VALUE!</v>
      </c>
      <c r="AS61" s="46" t="e">
        <f t="shared" si="36"/>
        <v>#VALUE!</v>
      </c>
      <c r="AT61" s="46" t="e">
        <f t="shared" si="36"/>
        <v>#VALUE!</v>
      </c>
      <c r="AU61" s="46" t="e">
        <f t="shared" si="36"/>
        <v>#VALUE!</v>
      </c>
      <c r="AV61" s="46" t="e">
        <f t="shared" si="36"/>
        <v>#VALUE!</v>
      </c>
      <c r="AW61" s="46" t="e">
        <f t="shared" si="36"/>
        <v>#VALUE!</v>
      </c>
      <c r="AX61" s="46" t="e">
        <f t="shared" si="36"/>
        <v>#VALUE!</v>
      </c>
      <c r="AY61" s="46" t="e">
        <f t="shared" si="36"/>
        <v>#VALUE!</v>
      </c>
      <c r="AZ61" s="46" t="e">
        <f t="shared" si="36"/>
        <v>#VALUE!</v>
      </c>
      <c r="BA61" s="46" t="e">
        <f t="shared" si="36"/>
        <v>#VALUE!</v>
      </c>
      <c r="BB61" s="46" t="e">
        <f t="shared" si="36"/>
        <v>#VALUE!</v>
      </c>
      <c r="BC61" s="46" t="e">
        <f t="shared" si="36"/>
        <v>#VALUE!</v>
      </c>
      <c r="BD61" s="46" t="e">
        <f t="shared" si="36"/>
        <v>#VALUE!</v>
      </c>
      <c r="BE61" s="46" t="e">
        <f t="shared" si="36"/>
        <v>#VALUE!</v>
      </c>
      <c r="BF61" s="46" t="e">
        <f t="shared" si="36"/>
        <v>#VALUE!</v>
      </c>
      <c r="BG61" s="46" t="e">
        <f t="shared" si="36"/>
        <v>#VALUE!</v>
      </c>
      <c r="BH61" s="46" t="e">
        <f t="shared" si="36"/>
        <v>#VALUE!</v>
      </c>
      <c r="BI61" s="46" t="e">
        <f t="shared" si="36"/>
        <v>#VALUE!</v>
      </c>
      <c r="BJ61" s="46" t="e">
        <f t="shared" si="36"/>
        <v>#VALUE!</v>
      </c>
      <c r="BK61" s="46" t="e">
        <f t="shared" si="36"/>
        <v>#VALUE!</v>
      </c>
      <c r="BL61" s="46" t="e">
        <f t="shared" si="36"/>
        <v>#VALUE!</v>
      </c>
      <c r="BM61" s="46" t="e">
        <f t="shared" si="36"/>
        <v>#VALUE!</v>
      </c>
      <c r="BN61" s="46" t="e">
        <f t="shared" si="36"/>
        <v>#VALUE!</v>
      </c>
      <c r="BO61" s="46" t="e">
        <f t="shared" si="36"/>
        <v>#VALUE!</v>
      </c>
      <c r="BP61" s="46" t="e">
        <f t="shared" si="36"/>
        <v>#VALUE!</v>
      </c>
      <c r="BQ61" s="46" t="e">
        <f t="shared" si="36"/>
        <v>#VALUE!</v>
      </c>
      <c r="BR61" s="46" t="e">
        <f t="shared" ref="BR61:DA61" si="37">IF(ISNUMBER(FIND("R",$B$17)),(BR35-BR10)^2,(BR36-BR10)^2)</f>
        <v>#VALUE!</v>
      </c>
      <c r="BS61" s="46" t="e">
        <f t="shared" si="37"/>
        <v>#VALUE!</v>
      </c>
      <c r="BT61" s="46" t="e">
        <f t="shared" si="37"/>
        <v>#VALUE!</v>
      </c>
      <c r="BU61" s="46" t="e">
        <f t="shared" si="37"/>
        <v>#VALUE!</v>
      </c>
      <c r="BV61" s="46" t="e">
        <f t="shared" si="37"/>
        <v>#VALUE!</v>
      </c>
      <c r="BW61" s="46" t="e">
        <f t="shared" si="37"/>
        <v>#VALUE!</v>
      </c>
      <c r="BX61" s="46" t="e">
        <f t="shared" si="37"/>
        <v>#VALUE!</v>
      </c>
      <c r="BY61" s="46" t="e">
        <f t="shared" si="37"/>
        <v>#VALUE!</v>
      </c>
      <c r="BZ61" s="46" t="e">
        <f t="shared" si="37"/>
        <v>#VALUE!</v>
      </c>
      <c r="CA61" s="46" t="e">
        <f t="shared" si="37"/>
        <v>#VALUE!</v>
      </c>
      <c r="CB61" s="46" t="e">
        <f t="shared" si="37"/>
        <v>#VALUE!</v>
      </c>
      <c r="CC61" s="46" t="e">
        <f t="shared" si="37"/>
        <v>#VALUE!</v>
      </c>
      <c r="CD61" s="46" t="e">
        <f t="shared" si="37"/>
        <v>#VALUE!</v>
      </c>
      <c r="CE61" s="46" t="e">
        <f t="shared" si="37"/>
        <v>#VALUE!</v>
      </c>
      <c r="CF61" s="46" t="e">
        <f t="shared" si="37"/>
        <v>#VALUE!</v>
      </c>
      <c r="CG61" s="46" t="e">
        <f t="shared" si="37"/>
        <v>#VALUE!</v>
      </c>
      <c r="CH61" s="46" t="e">
        <f t="shared" si="37"/>
        <v>#VALUE!</v>
      </c>
      <c r="CI61" s="46" t="e">
        <f t="shared" si="37"/>
        <v>#VALUE!</v>
      </c>
      <c r="CJ61" s="46" t="e">
        <f t="shared" si="37"/>
        <v>#VALUE!</v>
      </c>
      <c r="CK61" s="46" t="e">
        <f t="shared" si="37"/>
        <v>#VALUE!</v>
      </c>
      <c r="CL61" s="46" t="e">
        <f t="shared" si="37"/>
        <v>#VALUE!</v>
      </c>
      <c r="CM61" s="46" t="e">
        <f t="shared" si="37"/>
        <v>#VALUE!</v>
      </c>
      <c r="CN61" s="46" t="e">
        <f t="shared" si="37"/>
        <v>#VALUE!</v>
      </c>
      <c r="CO61" s="46" t="e">
        <f t="shared" si="37"/>
        <v>#VALUE!</v>
      </c>
      <c r="CP61" s="46" t="e">
        <f t="shared" si="37"/>
        <v>#VALUE!</v>
      </c>
      <c r="CQ61" s="46" t="e">
        <f t="shared" si="37"/>
        <v>#VALUE!</v>
      </c>
      <c r="CR61" s="46" t="e">
        <f t="shared" si="37"/>
        <v>#VALUE!</v>
      </c>
      <c r="CS61" s="46" t="e">
        <f t="shared" si="37"/>
        <v>#VALUE!</v>
      </c>
      <c r="CT61" s="46" t="e">
        <f t="shared" si="37"/>
        <v>#VALUE!</v>
      </c>
      <c r="CU61" s="46" t="e">
        <f t="shared" si="37"/>
        <v>#VALUE!</v>
      </c>
      <c r="CV61" s="46" t="e">
        <f t="shared" si="37"/>
        <v>#VALUE!</v>
      </c>
      <c r="CW61" s="46" t="e">
        <f t="shared" si="37"/>
        <v>#VALUE!</v>
      </c>
      <c r="CX61" s="46" t="e">
        <f t="shared" si="37"/>
        <v>#VALUE!</v>
      </c>
      <c r="CY61" s="46" t="e">
        <f t="shared" si="37"/>
        <v>#VALUE!</v>
      </c>
      <c r="CZ61" s="46" t="e">
        <f t="shared" si="37"/>
        <v>#VALUE!</v>
      </c>
      <c r="DA61" s="46" t="e">
        <f t="shared" si="37"/>
        <v>#VALUE!</v>
      </c>
    </row>
    <row r="62" spans="2:105" x14ac:dyDescent="0.25">
      <c r="B62" t="s">
        <v>11</v>
      </c>
      <c r="E62" s="46" t="e">
        <f>IF(ISNUMBER(FIND("R",$B$17)),(E36-E10)^2,(E35-E10)^2)</f>
        <v>#VALUE!</v>
      </c>
      <c r="F62" s="46" t="e">
        <f t="shared" ref="F62:BQ62" si="38">IF(ISNUMBER(FIND("R",$B$17)),(F36-F10)^2,(F35-F10)^2)</f>
        <v>#VALUE!</v>
      </c>
      <c r="G62" s="46" t="e">
        <f t="shared" si="38"/>
        <v>#VALUE!</v>
      </c>
      <c r="H62" s="46" t="e">
        <f t="shared" si="38"/>
        <v>#VALUE!</v>
      </c>
      <c r="I62" s="46" t="e">
        <f t="shared" si="38"/>
        <v>#VALUE!</v>
      </c>
      <c r="J62" s="46" t="e">
        <f t="shared" si="38"/>
        <v>#VALUE!</v>
      </c>
      <c r="K62" s="46" t="e">
        <f t="shared" si="38"/>
        <v>#VALUE!</v>
      </c>
      <c r="L62" s="46" t="e">
        <f t="shared" si="38"/>
        <v>#VALUE!</v>
      </c>
      <c r="M62" s="46" t="e">
        <f t="shared" si="38"/>
        <v>#VALUE!</v>
      </c>
      <c r="N62" s="46" t="e">
        <f t="shared" si="38"/>
        <v>#VALUE!</v>
      </c>
      <c r="O62" s="46" t="e">
        <f t="shared" si="38"/>
        <v>#VALUE!</v>
      </c>
      <c r="P62" s="46" t="e">
        <f t="shared" si="38"/>
        <v>#VALUE!</v>
      </c>
      <c r="Q62" s="46" t="e">
        <f t="shared" si="38"/>
        <v>#VALUE!</v>
      </c>
      <c r="R62" s="46" t="e">
        <f t="shared" si="38"/>
        <v>#VALUE!</v>
      </c>
      <c r="S62" s="46" t="e">
        <f t="shared" si="38"/>
        <v>#VALUE!</v>
      </c>
      <c r="T62" s="46" t="e">
        <f t="shared" si="38"/>
        <v>#VALUE!</v>
      </c>
      <c r="U62" s="46" t="e">
        <f t="shared" si="38"/>
        <v>#VALUE!</v>
      </c>
      <c r="V62" s="46" t="e">
        <f t="shared" si="38"/>
        <v>#VALUE!</v>
      </c>
      <c r="W62" s="46" t="e">
        <f t="shared" si="38"/>
        <v>#VALUE!</v>
      </c>
      <c r="X62" s="46" t="e">
        <f t="shared" si="38"/>
        <v>#VALUE!</v>
      </c>
      <c r="Y62" s="46" t="e">
        <f t="shared" si="38"/>
        <v>#VALUE!</v>
      </c>
      <c r="Z62" s="46" t="e">
        <f t="shared" si="38"/>
        <v>#VALUE!</v>
      </c>
      <c r="AA62" s="46" t="e">
        <f t="shared" si="38"/>
        <v>#VALUE!</v>
      </c>
      <c r="AB62" s="46" t="e">
        <f t="shared" si="38"/>
        <v>#VALUE!</v>
      </c>
      <c r="AC62" s="46" t="e">
        <f t="shared" si="38"/>
        <v>#VALUE!</v>
      </c>
      <c r="AD62" s="46" t="e">
        <f t="shared" si="38"/>
        <v>#VALUE!</v>
      </c>
      <c r="AE62" s="46" t="e">
        <f t="shared" si="38"/>
        <v>#VALUE!</v>
      </c>
      <c r="AF62" s="46" t="e">
        <f t="shared" si="38"/>
        <v>#VALUE!</v>
      </c>
      <c r="AG62" s="46" t="e">
        <f t="shared" si="38"/>
        <v>#VALUE!</v>
      </c>
      <c r="AH62" s="46" t="e">
        <f t="shared" si="38"/>
        <v>#VALUE!</v>
      </c>
      <c r="AI62" s="46" t="e">
        <f t="shared" si="38"/>
        <v>#VALUE!</v>
      </c>
      <c r="AJ62" s="46" t="e">
        <f t="shared" si="38"/>
        <v>#VALUE!</v>
      </c>
      <c r="AK62" s="46" t="e">
        <f t="shared" si="38"/>
        <v>#VALUE!</v>
      </c>
      <c r="AL62" s="46" t="e">
        <f t="shared" si="38"/>
        <v>#VALUE!</v>
      </c>
      <c r="AM62" s="46" t="e">
        <f t="shared" si="38"/>
        <v>#VALUE!</v>
      </c>
      <c r="AN62" s="46" t="e">
        <f t="shared" si="38"/>
        <v>#VALUE!</v>
      </c>
      <c r="AO62" s="46" t="e">
        <f t="shared" si="38"/>
        <v>#VALUE!</v>
      </c>
      <c r="AP62" s="46" t="e">
        <f t="shared" si="38"/>
        <v>#VALUE!</v>
      </c>
      <c r="AQ62" s="46" t="e">
        <f t="shared" si="38"/>
        <v>#VALUE!</v>
      </c>
      <c r="AR62" s="46" t="e">
        <f t="shared" si="38"/>
        <v>#VALUE!</v>
      </c>
      <c r="AS62" s="46" t="e">
        <f t="shared" si="38"/>
        <v>#VALUE!</v>
      </c>
      <c r="AT62" s="46" t="e">
        <f t="shared" si="38"/>
        <v>#VALUE!</v>
      </c>
      <c r="AU62" s="46" t="e">
        <f t="shared" si="38"/>
        <v>#VALUE!</v>
      </c>
      <c r="AV62" s="46" t="e">
        <f t="shared" si="38"/>
        <v>#VALUE!</v>
      </c>
      <c r="AW62" s="46" t="e">
        <f t="shared" si="38"/>
        <v>#VALUE!</v>
      </c>
      <c r="AX62" s="46" t="e">
        <f t="shared" si="38"/>
        <v>#VALUE!</v>
      </c>
      <c r="AY62" s="46" t="e">
        <f t="shared" si="38"/>
        <v>#VALUE!</v>
      </c>
      <c r="AZ62" s="46" t="e">
        <f t="shared" si="38"/>
        <v>#VALUE!</v>
      </c>
      <c r="BA62" s="46" t="e">
        <f t="shared" si="38"/>
        <v>#VALUE!</v>
      </c>
      <c r="BB62" s="46" t="e">
        <f t="shared" si="38"/>
        <v>#VALUE!</v>
      </c>
      <c r="BC62" s="46" t="e">
        <f t="shared" si="38"/>
        <v>#VALUE!</v>
      </c>
      <c r="BD62" s="46" t="e">
        <f t="shared" si="38"/>
        <v>#VALUE!</v>
      </c>
      <c r="BE62" s="46" t="e">
        <f t="shared" si="38"/>
        <v>#VALUE!</v>
      </c>
      <c r="BF62" s="46" t="e">
        <f t="shared" si="38"/>
        <v>#VALUE!</v>
      </c>
      <c r="BG62" s="46" t="e">
        <f t="shared" si="38"/>
        <v>#VALUE!</v>
      </c>
      <c r="BH62" s="46" t="e">
        <f t="shared" si="38"/>
        <v>#VALUE!</v>
      </c>
      <c r="BI62" s="46" t="e">
        <f t="shared" si="38"/>
        <v>#VALUE!</v>
      </c>
      <c r="BJ62" s="46" t="e">
        <f t="shared" si="38"/>
        <v>#VALUE!</v>
      </c>
      <c r="BK62" s="46" t="e">
        <f t="shared" si="38"/>
        <v>#VALUE!</v>
      </c>
      <c r="BL62" s="46" t="e">
        <f t="shared" si="38"/>
        <v>#VALUE!</v>
      </c>
      <c r="BM62" s="46" t="e">
        <f t="shared" si="38"/>
        <v>#VALUE!</v>
      </c>
      <c r="BN62" s="46" t="e">
        <f t="shared" si="38"/>
        <v>#VALUE!</v>
      </c>
      <c r="BO62" s="46" t="e">
        <f t="shared" si="38"/>
        <v>#VALUE!</v>
      </c>
      <c r="BP62" s="46" t="e">
        <f t="shared" si="38"/>
        <v>#VALUE!</v>
      </c>
      <c r="BQ62" s="46" t="e">
        <f t="shared" si="38"/>
        <v>#VALUE!</v>
      </c>
      <c r="BR62" s="46" t="e">
        <f t="shared" ref="BR62:DA62" si="39">IF(ISNUMBER(FIND("R",$B$17)),(BR36-BR10)^2,(BR35-BR10)^2)</f>
        <v>#VALUE!</v>
      </c>
      <c r="BS62" s="46" t="e">
        <f t="shared" si="39"/>
        <v>#VALUE!</v>
      </c>
      <c r="BT62" s="46" t="e">
        <f t="shared" si="39"/>
        <v>#VALUE!</v>
      </c>
      <c r="BU62" s="46" t="e">
        <f t="shared" si="39"/>
        <v>#VALUE!</v>
      </c>
      <c r="BV62" s="46" t="e">
        <f t="shared" si="39"/>
        <v>#VALUE!</v>
      </c>
      <c r="BW62" s="46" t="e">
        <f t="shared" si="39"/>
        <v>#VALUE!</v>
      </c>
      <c r="BX62" s="46" t="e">
        <f t="shared" si="39"/>
        <v>#VALUE!</v>
      </c>
      <c r="BY62" s="46" t="e">
        <f t="shared" si="39"/>
        <v>#VALUE!</v>
      </c>
      <c r="BZ62" s="46" t="e">
        <f t="shared" si="39"/>
        <v>#VALUE!</v>
      </c>
      <c r="CA62" s="46" t="e">
        <f t="shared" si="39"/>
        <v>#VALUE!</v>
      </c>
      <c r="CB62" s="46" t="e">
        <f t="shared" si="39"/>
        <v>#VALUE!</v>
      </c>
      <c r="CC62" s="46" t="e">
        <f t="shared" si="39"/>
        <v>#VALUE!</v>
      </c>
      <c r="CD62" s="46" t="e">
        <f t="shared" si="39"/>
        <v>#VALUE!</v>
      </c>
      <c r="CE62" s="46" t="e">
        <f t="shared" si="39"/>
        <v>#VALUE!</v>
      </c>
      <c r="CF62" s="46" t="e">
        <f t="shared" si="39"/>
        <v>#VALUE!</v>
      </c>
      <c r="CG62" s="46" t="e">
        <f t="shared" si="39"/>
        <v>#VALUE!</v>
      </c>
      <c r="CH62" s="46" t="e">
        <f t="shared" si="39"/>
        <v>#VALUE!</v>
      </c>
      <c r="CI62" s="46" t="e">
        <f t="shared" si="39"/>
        <v>#VALUE!</v>
      </c>
      <c r="CJ62" s="46" t="e">
        <f t="shared" si="39"/>
        <v>#VALUE!</v>
      </c>
      <c r="CK62" s="46" t="e">
        <f t="shared" si="39"/>
        <v>#VALUE!</v>
      </c>
      <c r="CL62" s="46" t="e">
        <f t="shared" si="39"/>
        <v>#VALUE!</v>
      </c>
      <c r="CM62" s="46" t="e">
        <f t="shared" si="39"/>
        <v>#VALUE!</v>
      </c>
      <c r="CN62" s="46" t="e">
        <f t="shared" si="39"/>
        <v>#VALUE!</v>
      </c>
      <c r="CO62" s="46" t="e">
        <f t="shared" si="39"/>
        <v>#VALUE!</v>
      </c>
      <c r="CP62" s="46" t="e">
        <f t="shared" si="39"/>
        <v>#VALUE!</v>
      </c>
      <c r="CQ62" s="46" t="e">
        <f t="shared" si="39"/>
        <v>#VALUE!</v>
      </c>
      <c r="CR62" s="46" t="e">
        <f t="shared" si="39"/>
        <v>#VALUE!</v>
      </c>
      <c r="CS62" s="46" t="e">
        <f t="shared" si="39"/>
        <v>#VALUE!</v>
      </c>
      <c r="CT62" s="46" t="e">
        <f t="shared" si="39"/>
        <v>#VALUE!</v>
      </c>
      <c r="CU62" s="46" t="e">
        <f t="shared" si="39"/>
        <v>#VALUE!</v>
      </c>
      <c r="CV62" s="46" t="e">
        <f t="shared" si="39"/>
        <v>#VALUE!</v>
      </c>
      <c r="CW62" s="46" t="e">
        <f t="shared" si="39"/>
        <v>#VALUE!</v>
      </c>
      <c r="CX62" s="46" t="e">
        <f t="shared" si="39"/>
        <v>#VALUE!</v>
      </c>
      <c r="CY62" s="46" t="e">
        <f t="shared" si="39"/>
        <v>#VALUE!</v>
      </c>
      <c r="CZ62" s="46" t="e">
        <f t="shared" si="39"/>
        <v>#VALUE!</v>
      </c>
      <c r="DA62" s="46" t="e">
        <f t="shared" si="39"/>
        <v>#VALUE!</v>
      </c>
    </row>
    <row r="63" spans="2:105" x14ac:dyDescent="0.25">
      <c r="B63" t="s">
        <v>14</v>
      </c>
      <c r="E63" s="46" t="e">
        <f>IF(ISNUMBER(FIND("R",$B$17)),(E37-E11)^2,(E38-E11)^2)</f>
        <v>#VALUE!</v>
      </c>
      <c r="F63" s="46" t="e">
        <f t="shared" ref="F63:BQ63" si="40">IF(ISNUMBER(FIND("R",$B$17)),(F37-F11)^2,(F38-F11)^2)</f>
        <v>#VALUE!</v>
      </c>
      <c r="G63" s="46" t="e">
        <f t="shared" si="40"/>
        <v>#VALUE!</v>
      </c>
      <c r="H63" s="46" t="e">
        <f t="shared" si="40"/>
        <v>#VALUE!</v>
      </c>
      <c r="I63" s="46" t="e">
        <f t="shared" si="40"/>
        <v>#VALUE!</v>
      </c>
      <c r="J63" s="46" t="e">
        <f t="shared" si="40"/>
        <v>#VALUE!</v>
      </c>
      <c r="K63" s="46" t="e">
        <f t="shared" si="40"/>
        <v>#VALUE!</v>
      </c>
      <c r="L63" s="46" t="e">
        <f t="shared" si="40"/>
        <v>#VALUE!</v>
      </c>
      <c r="M63" s="46" t="e">
        <f t="shared" si="40"/>
        <v>#VALUE!</v>
      </c>
      <c r="N63" s="46" t="e">
        <f t="shared" si="40"/>
        <v>#VALUE!</v>
      </c>
      <c r="O63" s="46" t="e">
        <f t="shared" si="40"/>
        <v>#VALUE!</v>
      </c>
      <c r="P63" s="46" t="e">
        <f t="shared" si="40"/>
        <v>#VALUE!</v>
      </c>
      <c r="Q63" s="46" t="e">
        <f t="shared" si="40"/>
        <v>#VALUE!</v>
      </c>
      <c r="R63" s="46" t="e">
        <f t="shared" si="40"/>
        <v>#VALUE!</v>
      </c>
      <c r="S63" s="46" t="e">
        <f t="shared" si="40"/>
        <v>#VALUE!</v>
      </c>
      <c r="T63" s="46" t="e">
        <f t="shared" si="40"/>
        <v>#VALUE!</v>
      </c>
      <c r="U63" s="46" t="e">
        <f t="shared" si="40"/>
        <v>#VALUE!</v>
      </c>
      <c r="V63" s="46" t="e">
        <f t="shared" si="40"/>
        <v>#VALUE!</v>
      </c>
      <c r="W63" s="46" t="e">
        <f t="shared" si="40"/>
        <v>#VALUE!</v>
      </c>
      <c r="X63" s="46" t="e">
        <f t="shared" si="40"/>
        <v>#VALUE!</v>
      </c>
      <c r="Y63" s="46" t="e">
        <f t="shared" si="40"/>
        <v>#VALUE!</v>
      </c>
      <c r="Z63" s="46" t="e">
        <f t="shared" si="40"/>
        <v>#VALUE!</v>
      </c>
      <c r="AA63" s="46" t="e">
        <f t="shared" si="40"/>
        <v>#VALUE!</v>
      </c>
      <c r="AB63" s="46" t="e">
        <f t="shared" si="40"/>
        <v>#VALUE!</v>
      </c>
      <c r="AC63" s="46" t="e">
        <f t="shared" si="40"/>
        <v>#VALUE!</v>
      </c>
      <c r="AD63" s="46" t="e">
        <f t="shared" si="40"/>
        <v>#VALUE!</v>
      </c>
      <c r="AE63" s="46" t="e">
        <f t="shared" si="40"/>
        <v>#VALUE!</v>
      </c>
      <c r="AF63" s="46" t="e">
        <f t="shared" si="40"/>
        <v>#VALUE!</v>
      </c>
      <c r="AG63" s="46" t="e">
        <f t="shared" si="40"/>
        <v>#VALUE!</v>
      </c>
      <c r="AH63" s="46" t="e">
        <f t="shared" si="40"/>
        <v>#VALUE!</v>
      </c>
      <c r="AI63" s="46" t="e">
        <f t="shared" si="40"/>
        <v>#VALUE!</v>
      </c>
      <c r="AJ63" s="46" t="e">
        <f t="shared" si="40"/>
        <v>#VALUE!</v>
      </c>
      <c r="AK63" s="46" t="e">
        <f t="shared" si="40"/>
        <v>#VALUE!</v>
      </c>
      <c r="AL63" s="46" t="e">
        <f t="shared" si="40"/>
        <v>#VALUE!</v>
      </c>
      <c r="AM63" s="46" t="e">
        <f t="shared" si="40"/>
        <v>#VALUE!</v>
      </c>
      <c r="AN63" s="46" t="e">
        <f t="shared" si="40"/>
        <v>#VALUE!</v>
      </c>
      <c r="AO63" s="46" t="e">
        <f t="shared" si="40"/>
        <v>#VALUE!</v>
      </c>
      <c r="AP63" s="46" t="e">
        <f t="shared" si="40"/>
        <v>#VALUE!</v>
      </c>
      <c r="AQ63" s="46" t="e">
        <f t="shared" si="40"/>
        <v>#VALUE!</v>
      </c>
      <c r="AR63" s="46" t="e">
        <f t="shared" si="40"/>
        <v>#VALUE!</v>
      </c>
      <c r="AS63" s="46" t="e">
        <f t="shared" si="40"/>
        <v>#VALUE!</v>
      </c>
      <c r="AT63" s="46" t="e">
        <f t="shared" si="40"/>
        <v>#VALUE!</v>
      </c>
      <c r="AU63" s="46" t="e">
        <f t="shared" si="40"/>
        <v>#VALUE!</v>
      </c>
      <c r="AV63" s="46" t="e">
        <f t="shared" si="40"/>
        <v>#VALUE!</v>
      </c>
      <c r="AW63" s="46" t="e">
        <f t="shared" si="40"/>
        <v>#VALUE!</v>
      </c>
      <c r="AX63" s="46" t="e">
        <f t="shared" si="40"/>
        <v>#VALUE!</v>
      </c>
      <c r="AY63" s="46" t="e">
        <f t="shared" si="40"/>
        <v>#VALUE!</v>
      </c>
      <c r="AZ63" s="46" t="e">
        <f t="shared" si="40"/>
        <v>#VALUE!</v>
      </c>
      <c r="BA63" s="46" t="e">
        <f t="shared" si="40"/>
        <v>#VALUE!</v>
      </c>
      <c r="BB63" s="46" t="e">
        <f t="shared" si="40"/>
        <v>#VALUE!</v>
      </c>
      <c r="BC63" s="46" t="e">
        <f t="shared" si="40"/>
        <v>#VALUE!</v>
      </c>
      <c r="BD63" s="46" t="e">
        <f t="shared" si="40"/>
        <v>#VALUE!</v>
      </c>
      <c r="BE63" s="46" t="e">
        <f t="shared" si="40"/>
        <v>#VALUE!</v>
      </c>
      <c r="BF63" s="46" t="e">
        <f t="shared" si="40"/>
        <v>#VALUE!</v>
      </c>
      <c r="BG63" s="46" t="e">
        <f t="shared" si="40"/>
        <v>#VALUE!</v>
      </c>
      <c r="BH63" s="46" t="e">
        <f t="shared" si="40"/>
        <v>#VALUE!</v>
      </c>
      <c r="BI63" s="46" t="e">
        <f t="shared" si="40"/>
        <v>#VALUE!</v>
      </c>
      <c r="BJ63" s="46" t="e">
        <f t="shared" si="40"/>
        <v>#VALUE!</v>
      </c>
      <c r="BK63" s="46" t="e">
        <f t="shared" si="40"/>
        <v>#VALUE!</v>
      </c>
      <c r="BL63" s="46" t="e">
        <f t="shared" si="40"/>
        <v>#VALUE!</v>
      </c>
      <c r="BM63" s="46" t="e">
        <f t="shared" si="40"/>
        <v>#VALUE!</v>
      </c>
      <c r="BN63" s="46" t="e">
        <f t="shared" si="40"/>
        <v>#VALUE!</v>
      </c>
      <c r="BO63" s="46" t="e">
        <f t="shared" si="40"/>
        <v>#VALUE!</v>
      </c>
      <c r="BP63" s="46" t="e">
        <f t="shared" si="40"/>
        <v>#VALUE!</v>
      </c>
      <c r="BQ63" s="46" t="e">
        <f t="shared" si="40"/>
        <v>#VALUE!</v>
      </c>
      <c r="BR63" s="46" t="e">
        <f t="shared" ref="BR63:DA63" si="41">IF(ISNUMBER(FIND("R",$B$17)),(BR37-BR11)^2,(BR38-BR11)^2)</f>
        <v>#VALUE!</v>
      </c>
      <c r="BS63" s="46" t="e">
        <f t="shared" si="41"/>
        <v>#VALUE!</v>
      </c>
      <c r="BT63" s="46" t="e">
        <f t="shared" si="41"/>
        <v>#VALUE!</v>
      </c>
      <c r="BU63" s="46" t="e">
        <f t="shared" si="41"/>
        <v>#VALUE!</v>
      </c>
      <c r="BV63" s="46" t="e">
        <f t="shared" si="41"/>
        <v>#VALUE!</v>
      </c>
      <c r="BW63" s="46" t="e">
        <f t="shared" si="41"/>
        <v>#VALUE!</v>
      </c>
      <c r="BX63" s="46" t="e">
        <f t="shared" si="41"/>
        <v>#VALUE!</v>
      </c>
      <c r="BY63" s="46" t="e">
        <f t="shared" si="41"/>
        <v>#VALUE!</v>
      </c>
      <c r="BZ63" s="46" t="e">
        <f t="shared" si="41"/>
        <v>#VALUE!</v>
      </c>
      <c r="CA63" s="46" t="e">
        <f t="shared" si="41"/>
        <v>#VALUE!</v>
      </c>
      <c r="CB63" s="46" t="e">
        <f t="shared" si="41"/>
        <v>#VALUE!</v>
      </c>
      <c r="CC63" s="46" t="e">
        <f t="shared" si="41"/>
        <v>#VALUE!</v>
      </c>
      <c r="CD63" s="46" t="e">
        <f t="shared" si="41"/>
        <v>#VALUE!</v>
      </c>
      <c r="CE63" s="46" t="e">
        <f t="shared" si="41"/>
        <v>#VALUE!</v>
      </c>
      <c r="CF63" s="46" t="e">
        <f t="shared" si="41"/>
        <v>#VALUE!</v>
      </c>
      <c r="CG63" s="46" t="e">
        <f t="shared" si="41"/>
        <v>#VALUE!</v>
      </c>
      <c r="CH63" s="46" t="e">
        <f t="shared" si="41"/>
        <v>#VALUE!</v>
      </c>
      <c r="CI63" s="46" t="e">
        <f t="shared" si="41"/>
        <v>#VALUE!</v>
      </c>
      <c r="CJ63" s="46" t="e">
        <f t="shared" si="41"/>
        <v>#VALUE!</v>
      </c>
      <c r="CK63" s="46" t="e">
        <f t="shared" si="41"/>
        <v>#VALUE!</v>
      </c>
      <c r="CL63" s="46" t="e">
        <f t="shared" si="41"/>
        <v>#VALUE!</v>
      </c>
      <c r="CM63" s="46" t="e">
        <f t="shared" si="41"/>
        <v>#VALUE!</v>
      </c>
      <c r="CN63" s="46" t="e">
        <f t="shared" si="41"/>
        <v>#VALUE!</v>
      </c>
      <c r="CO63" s="46" t="e">
        <f t="shared" si="41"/>
        <v>#VALUE!</v>
      </c>
      <c r="CP63" s="46" t="e">
        <f t="shared" si="41"/>
        <v>#VALUE!</v>
      </c>
      <c r="CQ63" s="46" t="e">
        <f t="shared" si="41"/>
        <v>#VALUE!</v>
      </c>
      <c r="CR63" s="46" t="e">
        <f t="shared" si="41"/>
        <v>#VALUE!</v>
      </c>
      <c r="CS63" s="46" t="e">
        <f t="shared" si="41"/>
        <v>#VALUE!</v>
      </c>
      <c r="CT63" s="46" t="e">
        <f t="shared" si="41"/>
        <v>#VALUE!</v>
      </c>
      <c r="CU63" s="46" t="e">
        <f t="shared" si="41"/>
        <v>#VALUE!</v>
      </c>
      <c r="CV63" s="46" t="e">
        <f t="shared" si="41"/>
        <v>#VALUE!</v>
      </c>
      <c r="CW63" s="46" t="e">
        <f t="shared" si="41"/>
        <v>#VALUE!</v>
      </c>
      <c r="CX63" s="46" t="e">
        <f t="shared" si="41"/>
        <v>#VALUE!</v>
      </c>
      <c r="CY63" s="46" t="e">
        <f t="shared" si="41"/>
        <v>#VALUE!</v>
      </c>
      <c r="CZ63" s="46" t="e">
        <f t="shared" si="41"/>
        <v>#VALUE!</v>
      </c>
      <c r="DA63" s="46" t="e">
        <f t="shared" si="41"/>
        <v>#VALUE!</v>
      </c>
    </row>
    <row r="64" spans="2:105" x14ac:dyDescent="0.25">
      <c r="B64" t="s">
        <v>13</v>
      </c>
      <c r="E64" s="46" t="e">
        <f>IF(ISNUMBER(FIND("R",$B$17)),(E38-E11)^2,(E37-E11)^2)</f>
        <v>#VALUE!</v>
      </c>
      <c r="F64" s="46" t="e">
        <f t="shared" ref="F64:BQ64" si="42">IF(ISNUMBER(FIND("R",$B$17)),(F38-F11)^2,(F37-F11)^2)</f>
        <v>#VALUE!</v>
      </c>
      <c r="G64" s="46" t="e">
        <f t="shared" si="42"/>
        <v>#VALUE!</v>
      </c>
      <c r="H64" s="46" t="e">
        <f t="shared" si="42"/>
        <v>#VALUE!</v>
      </c>
      <c r="I64" s="46" t="e">
        <f t="shared" si="42"/>
        <v>#VALUE!</v>
      </c>
      <c r="J64" s="46" t="e">
        <f t="shared" si="42"/>
        <v>#VALUE!</v>
      </c>
      <c r="K64" s="46" t="e">
        <f t="shared" si="42"/>
        <v>#VALUE!</v>
      </c>
      <c r="L64" s="46" t="e">
        <f t="shared" si="42"/>
        <v>#VALUE!</v>
      </c>
      <c r="M64" s="46" t="e">
        <f t="shared" si="42"/>
        <v>#VALUE!</v>
      </c>
      <c r="N64" s="46" t="e">
        <f t="shared" si="42"/>
        <v>#VALUE!</v>
      </c>
      <c r="O64" s="46" t="e">
        <f t="shared" si="42"/>
        <v>#VALUE!</v>
      </c>
      <c r="P64" s="46" t="e">
        <f t="shared" si="42"/>
        <v>#VALUE!</v>
      </c>
      <c r="Q64" s="46" t="e">
        <f t="shared" si="42"/>
        <v>#VALUE!</v>
      </c>
      <c r="R64" s="46" t="e">
        <f t="shared" si="42"/>
        <v>#VALUE!</v>
      </c>
      <c r="S64" s="46" t="e">
        <f t="shared" si="42"/>
        <v>#VALUE!</v>
      </c>
      <c r="T64" s="46" t="e">
        <f t="shared" si="42"/>
        <v>#VALUE!</v>
      </c>
      <c r="U64" s="46" t="e">
        <f t="shared" si="42"/>
        <v>#VALUE!</v>
      </c>
      <c r="V64" s="46" t="e">
        <f t="shared" si="42"/>
        <v>#VALUE!</v>
      </c>
      <c r="W64" s="46" t="e">
        <f t="shared" si="42"/>
        <v>#VALUE!</v>
      </c>
      <c r="X64" s="46" t="e">
        <f t="shared" si="42"/>
        <v>#VALUE!</v>
      </c>
      <c r="Y64" s="46" t="e">
        <f t="shared" si="42"/>
        <v>#VALUE!</v>
      </c>
      <c r="Z64" s="46" t="e">
        <f t="shared" si="42"/>
        <v>#VALUE!</v>
      </c>
      <c r="AA64" s="46" t="e">
        <f t="shared" si="42"/>
        <v>#VALUE!</v>
      </c>
      <c r="AB64" s="46" t="e">
        <f t="shared" si="42"/>
        <v>#VALUE!</v>
      </c>
      <c r="AC64" s="46" t="e">
        <f t="shared" si="42"/>
        <v>#VALUE!</v>
      </c>
      <c r="AD64" s="46" t="e">
        <f t="shared" si="42"/>
        <v>#VALUE!</v>
      </c>
      <c r="AE64" s="46" t="e">
        <f t="shared" si="42"/>
        <v>#VALUE!</v>
      </c>
      <c r="AF64" s="46" t="e">
        <f t="shared" si="42"/>
        <v>#VALUE!</v>
      </c>
      <c r="AG64" s="46" t="e">
        <f t="shared" si="42"/>
        <v>#VALUE!</v>
      </c>
      <c r="AH64" s="46" t="e">
        <f t="shared" si="42"/>
        <v>#VALUE!</v>
      </c>
      <c r="AI64" s="46" t="e">
        <f t="shared" si="42"/>
        <v>#VALUE!</v>
      </c>
      <c r="AJ64" s="46" t="e">
        <f t="shared" si="42"/>
        <v>#VALUE!</v>
      </c>
      <c r="AK64" s="46" t="e">
        <f t="shared" si="42"/>
        <v>#VALUE!</v>
      </c>
      <c r="AL64" s="46" t="e">
        <f t="shared" si="42"/>
        <v>#VALUE!</v>
      </c>
      <c r="AM64" s="46" t="e">
        <f t="shared" si="42"/>
        <v>#VALUE!</v>
      </c>
      <c r="AN64" s="46" t="e">
        <f t="shared" si="42"/>
        <v>#VALUE!</v>
      </c>
      <c r="AO64" s="46" t="e">
        <f t="shared" si="42"/>
        <v>#VALUE!</v>
      </c>
      <c r="AP64" s="46" t="e">
        <f t="shared" si="42"/>
        <v>#VALUE!</v>
      </c>
      <c r="AQ64" s="46" t="e">
        <f t="shared" si="42"/>
        <v>#VALUE!</v>
      </c>
      <c r="AR64" s="46" t="e">
        <f t="shared" si="42"/>
        <v>#VALUE!</v>
      </c>
      <c r="AS64" s="46" t="e">
        <f t="shared" si="42"/>
        <v>#VALUE!</v>
      </c>
      <c r="AT64" s="46" t="e">
        <f t="shared" si="42"/>
        <v>#VALUE!</v>
      </c>
      <c r="AU64" s="46" t="e">
        <f t="shared" si="42"/>
        <v>#VALUE!</v>
      </c>
      <c r="AV64" s="46" t="e">
        <f t="shared" si="42"/>
        <v>#VALUE!</v>
      </c>
      <c r="AW64" s="46" t="e">
        <f t="shared" si="42"/>
        <v>#VALUE!</v>
      </c>
      <c r="AX64" s="46" t="e">
        <f t="shared" si="42"/>
        <v>#VALUE!</v>
      </c>
      <c r="AY64" s="46" t="e">
        <f t="shared" si="42"/>
        <v>#VALUE!</v>
      </c>
      <c r="AZ64" s="46" t="e">
        <f t="shared" si="42"/>
        <v>#VALUE!</v>
      </c>
      <c r="BA64" s="46" t="e">
        <f t="shared" si="42"/>
        <v>#VALUE!</v>
      </c>
      <c r="BB64" s="46" t="e">
        <f t="shared" si="42"/>
        <v>#VALUE!</v>
      </c>
      <c r="BC64" s="46" t="e">
        <f t="shared" si="42"/>
        <v>#VALUE!</v>
      </c>
      <c r="BD64" s="46" t="e">
        <f t="shared" si="42"/>
        <v>#VALUE!</v>
      </c>
      <c r="BE64" s="46" t="e">
        <f t="shared" si="42"/>
        <v>#VALUE!</v>
      </c>
      <c r="BF64" s="46" t="e">
        <f t="shared" si="42"/>
        <v>#VALUE!</v>
      </c>
      <c r="BG64" s="46" t="e">
        <f t="shared" si="42"/>
        <v>#VALUE!</v>
      </c>
      <c r="BH64" s="46" t="e">
        <f t="shared" si="42"/>
        <v>#VALUE!</v>
      </c>
      <c r="BI64" s="46" t="e">
        <f t="shared" si="42"/>
        <v>#VALUE!</v>
      </c>
      <c r="BJ64" s="46" t="e">
        <f t="shared" si="42"/>
        <v>#VALUE!</v>
      </c>
      <c r="BK64" s="46" t="e">
        <f t="shared" si="42"/>
        <v>#VALUE!</v>
      </c>
      <c r="BL64" s="46" t="e">
        <f t="shared" si="42"/>
        <v>#VALUE!</v>
      </c>
      <c r="BM64" s="46" t="e">
        <f t="shared" si="42"/>
        <v>#VALUE!</v>
      </c>
      <c r="BN64" s="46" t="e">
        <f t="shared" si="42"/>
        <v>#VALUE!</v>
      </c>
      <c r="BO64" s="46" t="e">
        <f t="shared" si="42"/>
        <v>#VALUE!</v>
      </c>
      <c r="BP64" s="46" t="e">
        <f t="shared" si="42"/>
        <v>#VALUE!</v>
      </c>
      <c r="BQ64" s="46" t="e">
        <f t="shared" si="42"/>
        <v>#VALUE!</v>
      </c>
      <c r="BR64" s="46" t="e">
        <f t="shared" ref="BR64:DA64" si="43">IF(ISNUMBER(FIND("R",$B$17)),(BR38-BR11)^2,(BR37-BR11)^2)</f>
        <v>#VALUE!</v>
      </c>
      <c r="BS64" s="46" t="e">
        <f t="shared" si="43"/>
        <v>#VALUE!</v>
      </c>
      <c r="BT64" s="46" t="e">
        <f t="shared" si="43"/>
        <v>#VALUE!</v>
      </c>
      <c r="BU64" s="46" t="e">
        <f t="shared" si="43"/>
        <v>#VALUE!</v>
      </c>
      <c r="BV64" s="46" t="e">
        <f t="shared" si="43"/>
        <v>#VALUE!</v>
      </c>
      <c r="BW64" s="46" t="e">
        <f t="shared" si="43"/>
        <v>#VALUE!</v>
      </c>
      <c r="BX64" s="46" t="e">
        <f t="shared" si="43"/>
        <v>#VALUE!</v>
      </c>
      <c r="BY64" s="46" t="e">
        <f t="shared" si="43"/>
        <v>#VALUE!</v>
      </c>
      <c r="BZ64" s="46" t="e">
        <f t="shared" si="43"/>
        <v>#VALUE!</v>
      </c>
      <c r="CA64" s="46" t="e">
        <f t="shared" si="43"/>
        <v>#VALUE!</v>
      </c>
      <c r="CB64" s="46" t="e">
        <f t="shared" si="43"/>
        <v>#VALUE!</v>
      </c>
      <c r="CC64" s="46" t="e">
        <f t="shared" si="43"/>
        <v>#VALUE!</v>
      </c>
      <c r="CD64" s="46" t="e">
        <f t="shared" si="43"/>
        <v>#VALUE!</v>
      </c>
      <c r="CE64" s="46" t="e">
        <f t="shared" si="43"/>
        <v>#VALUE!</v>
      </c>
      <c r="CF64" s="46" t="e">
        <f t="shared" si="43"/>
        <v>#VALUE!</v>
      </c>
      <c r="CG64" s="46" t="e">
        <f t="shared" si="43"/>
        <v>#VALUE!</v>
      </c>
      <c r="CH64" s="46" t="e">
        <f t="shared" si="43"/>
        <v>#VALUE!</v>
      </c>
      <c r="CI64" s="46" t="e">
        <f t="shared" si="43"/>
        <v>#VALUE!</v>
      </c>
      <c r="CJ64" s="46" t="e">
        <f t="shared" si="43"/>
        <v>#VALUE!</v>
      </c>
      <c r="CK64" s="46" t="e">
        <f t="shared" si="43"/>
        <v>#VALUE!</v>
      </c>
      <c r="CL64" s="46" t="e">
        <f t="shared" si="43"/>
        <v>#VALUE!</v>
      </c>
      <c r="CM64" s="46" t="e">
        <f t="shared" si="43"/>
        <v>#VALUE!</v>
      </c>
      <c r="CN64" s="46" t="e">
        <f t="shared" si="43"/>
        <v>#VALUE!</v>
      </c>
      <c r="CO64" s="46" t="e">
        <f t="shared" si="43"/>
        <v>#VALUE!</v>
      </c>
      <c r="CP64" s="46" t="e">
        <f t="shared" si="43"/>
        <v>#VALUE!</v>
      </c>
      <c r="CQ64" s="46" t="e">
        <f t="shared" si="43"/>
        <v>#VALUE!</v>
      </c>
      <c r="CR64" s="46" t="e">
        <f t="shared" si="43"/>
        <v>#VALUE!</v>
      </c>
      <c r="CS64" s="46" t="e">
        <f t="shared" si="43"/>
        <v>#VALUE!</v>
      </c>
      <c r="CT64" s="46" t="e">
        <f t="shared" si="43"/>
        <v>#VALUE!</v>
      </c>
      <c r="CU64" s="46" t="e">
        <f t="shared" si="43"/>
        <v>#VALUE!</v>
      </c>
      <c r="CV64" s="46" t="e">
        <f t="shared" si="43"/>
        <v>#VALUE!</v>
      </c>
      <c r="CW64" s="46" t="e">
        <f t="shared" si="43"/>
        <v>#VALUE!</v>
      </c>
      <c r="CX64" s="46" t="e">
        <f t="shared" si="43"/>
        <v>#VALUE!</v>
      </c>
      <c r="CY64" s="46" t="e">
        <f t="shared" si="43"/>
        <v>#VALUE!</v>
      </c>
      <c r="CZ64" s="46" t="e">
        <f t="shared" si="43"/>
        <v>#VALUE!</v>
      </c>
      <c r="DA64" s="46" t="e">
        <f t="shared" si="43"/>
        <v>#VALUE!</v>
      </c>
    </row>
    <row r="65" spans="1:105" x14ac:dyDescent="0.25">
      <c r="B65" t="s">
        <v>16</v>
      </c>
      <c r="E65" s="46" t="e">
        <f>IF(ISNUMBER(FIND("R",$B$17)),(E39-E12)^2,(E40-E12)^2)</f>
        <v>#VALUE!</v>
      </c>
      <c r="F65" s="46" t="e">
        <f t="shared" ref="F65:BQ65" si="44">IF(ISNUMBER(FIND("R",$B$17)),(F39-F12)^2,(F40-F12)^2)</f>
        <v>#VALUE!</v>
      </c>
      <c r="G65" s="46" t="e">
        <f t="shared" si="44"/>
        <v>#VALUE!</v>
      </c>
      <c r="H65" s="46" t="e">
        <f t="shared" si="44"/>
        <v>#VALUE!</v>
      </c>
      <c r="I65" s="46" t="e">
        <f t="shared" si="44"/>
        <v>#VALUE!</v>
      </c>
      <c r="J65" s="46" t="e">
        <f t="shared" si="44"/>
        <v>#VALUE!</v>
      </c>
      <c r="K65" s="46" t="e">
        <f t="shared" si="44"/>
        <v>#VALUE!</v>
      </c>
      <c r="L65" s="46" t="e">
        <f t="shared" si="44"/>
        <v>#VALUE!</v>
      </c>
      <c r="M65" s="46" t="e">
        <f t="shared" si="44"/>
        <v>#VALUE!</v>
      </c>
      <c r="N65" s="46" t="e">
        <f t="shared" si="44"/>
        <v>#VALUE!</v>
      </c>
      <c r="O65" s="46" t="e">
        <f t="shared" si="44"/>
        <v>#VALUE!</v>
      </c>
      <c r="P65" s="46" t="e">
        <f t="shared" si="44"/>
        <v>#VALUE!</v>
      </c>
      <c r="Q65" s="46" t="e">
        <f t="shared" si="44"/>
        <v>#VALUE!</v>
      </c>
      <c r="R65" s="46" t="e">
        <f t="shared" si="44"/>
        <v>#VALUE!</v>
      </c>
      <c r="S65" s="46" t="e">
        <f t="shared" si="44"/>
        <v>#VALUE!</v>
      </c>
      <c r="T65" s="46" t="e">
        <f t="shared" si="44"/>
        <v>#VALUE!</v>
      </c>
      <c r="U65" s="46" t="e">
        <f t="shared" si="44"/>
        <v>#VALUE!</v>
      </c>
      <c r="V65" s="46" t="e">
        <f t="shared" si="44"/>
        <v>#VALUE!</v>
      </c>
      <c r="W65" s="46" t="e">
        <f t="shared" si="44"/>
        <v>#VALUE!</v>
      </c>
      <c r="X65" s="46" t="e">
        <f t="shared" si="44"/>
        <v>#VALUE!</v>
      </c>
      <c r="Y65" s="46" t="e">
        <f t="shared" si="44"/>
        <v>#VALUE!</v>
      </c>
      <c r="Z65" s="46" t="e">
        <f t="shared" si="44"/>
        <v>#VALUE!</v>
      </c>
      <c r="AA65" s="46" t="e">
        <f t="shared" si="44"/>
        <v>#VALUE!</v>
      </c>
      <c r="AB65" s="46" t="e">
        <f t="shared" si="44"/>
        <v>#VALUE!</v>
      </c>
      <c r="AC65" s="46" t="e">
        <f t="shared" si="44"/>
        <v>#VALUE!</v>
      </c>
      <c r="AD65" s="46" t="e">
        <f t="shared" si="44"/>
        <v>#VALUE!</v>
      </c>
      <c r="AE65" s="46" t="e">
        <f t="shared" si="44"/>
        <v>#VALUE!</v>
      </c>
      <c r="AF65" s="46" t="e">
        <f t="shared" si="44"/>
        <v>#VALUE!</v>
      </c>
      <c r="AG65" s="46" t="e">
        <f t="shared" si="44"/>
        <v>#VALUE!</v>
      </c>
      <c r="AH65" s="46" t="e">
        <f t="shared" si="44"/>
        <v>#VALUE!</v>
      </c>
      <c r="AI65" s="46" t="e">
        <f t="shared" si="44"/>
        <v>#VALUE!</v>
      </c>
      <c r="AJ65" s="46" t="e">
        <f t="shared" si="44"/>
        <v>#VALUE!</v>
      </c>
      <c r="AK65" s="46" t="e">
        <f t="shared" si="44"/>
        <v>#VALUE!</v>
      </c>
      <c r="AL65" s="46" t="e">
        <f t="shared" si="44"/>
        <v>#VALUE!</v>
      </c>
      <c r="AM65" s="46" t="e">
        <f t="shared" si="44"/>
        <v>#VALUE!</v>
      </c>
      <c r="AN65" s="46" t="e">
        <f t="shared" si="44"/>
        <v>#VALUE!</v>
      </c>
      <c r="AO65" s="46" t="e">
        <f t="shared" si="44"/>
        <v>#VALUE!</v>
      </c>
      <c r="AP65" s="46" t="e">
        <f t="shared" si="44"/>
        <v>#VALUE!</v>
      </c>
      <c r="AQ65" s="46" t="e">
        <f t="shared" si="44"/>
        <v>#VALUE!</v>
      </c>
      <c r="AR65" s="46" t="e">
        <f t="shared" si="44"/>
        <v>#VALUE!</v>
      </c>
      <c r="AS65" s="46" t="e">
        <f t="shared" si="44"/>
        <v>#VALUE!</v>
      </c>
      <c r="AT65" s="46" t="e">
        <f t="shared" si="44"/>
        <v>#VALUE!</v>
      </c>
      <c r="AU65" s="46" t="e">
        <f t="shared" si="44"/>
        <v>#VALUE!</v>
      </c>
      <c r="AV65" s="46" t="e">
        <f t="shared" si="44"/>
        <v>#VALUE!</v>
      </c>
      <c r="AW65" s="46" t="e">
        <f t="shared" si="44"/>
        <v>#VALUE!</v>
      </c>
      <c r="AX65" s="46" t="e">
        <f t="shared" si="44"/>
        <v>#VALUE!</v>
      </c>
      <c r="AY65" s="46" t="e">
        <f t="shared" si="44"/>
        <v>#VALUE!</v>
      </c>
      <c r="AZ65" s="46" t="e">
        <f t="shared" si="44"/>
        <v>#VALUE!</v>
      </c>
      <c r="BA65" s="46" t="e">
        <f t="shared" si="44"/>
        <v>#VALUE!</v>
      </c>
      <c r="BB65" s="46" t="e">
        <f t="shared" si="44"/>
        <v>#VALUE!</v>
      </c>
      <c r="BC65" s="46" t="e">
        <f t="shared" si="44"/>
        <v>#VALUE!</v>
      </c>
      <c r="BD65" s="46" t="e">
        <f t="shared" si="44"/>
        <v>#VALUE!</v>
      </c>
      <c r="BE65" s="46" t="e">
        <f t="shared" si="44"/>
        <v>#VALUE!</v>
      </c>
      <c r="BF65" s="46" t="e">
        <f t="shared" si="44"/>
        <v>#VALUE!</v>
      </c>
      <c r="BG65" s="46" t="e">
        <f t="shared" si="44"/>
        <v>#VALUE!</v>
      </c>
      <c r="BH65" s="46" t="e">
        <f t="shared" si="44"/>
        <v>#VALUE!</v>
      </c>
      <c r="BI65" s="46" t="e">
        <f t="shared" si="44"/>
        <v>#VALUE!</v>
      </c>
      <c r="BJ65" s="46" t="e">
        <f t="shared" si="44"/>
        <v>#VALUE!</v>
      </c>
      <c r="BK65" s="46" t="e">
        <f t="shared" si="44"/>
        <v>#VALUE!</v>
      </c>
      <c r="BL65" s="46" t="e">
        <f t="shared" si="44"/>
        <v>#VALUE!</v>
      </c>
      <c r="BM65" s="46" t="e">
        <f t="shared" si="44"/>
        <v>#VALUE!</v>
      </c>
      <c r="BN65" s="46" t="e">
        <f t="shared" si="44"/>
        <v>#VALUE!</v>
      </c>
      <c r="BO65" s="46" t="e">
        <f t="shared" si="44"/>
        <v>#VALUE!</v>
      </c>
      <c r="BP65" s="46" t="e">
        <f t="shared" si="44"/>
        <v>#VALUE!</v>
      </c>
      <c r="BQ65" s="46" t="e">
        <f t="shared" si="44"/>
        <v>#VALUE!</v>
      </c>
      <c r="BR65" s="46" t="e">
        <f t="shared" ref="BR65:DA65" si="45">IF(ISNUMBER(FIND("R",$B$17)),(BR39-BR12)^2,(BR40-BR12)^2)</f>
        <v>#VALUE!</v>
      </c>
      <c r="BS65" s="46" t="e">
        <f t="shared" si="45"/>
        <v>#VALUE!</v>
      </c>
      <c r="BT65" s="46" t="e">
        <f t="shared" si="45"/>
        <v>#VALUE!</v>
      </c>
      <c r="BU65" s="46" t="e">
        <f t="shared" si="45"/>
        <v>#VALUE!</v>
      </c>
      <c r="BV65" s="46" t="e">
        <f t="shared" si="45"/>
        <v>#VALUE!</v>
      </c>
      <c r="BW65" s="46" t="e">
        <f t="shared" si="45"/>
        <v>#VALUE!</v>
      </c>
      <c r="BX65" s="46" t="e">
        <f t="shared" si="45"/>
        <v>#VALUE!</v>
      </c>
      <c r="BY65" s="46" t="e">
        <f t="shared" si="45"/>
        <v>#VALUE!</v>
      </c>
      <c r="BZ65" s="46" t="e">
        <f t="shared" si="45"/>
        <v>#VALUE!</v>
      </c>
      <c r="CA65" s="46" t="e">
        <f t="shared" si="45"/>
        <v>#VALUE!</v>
      </c>
      <c r="CB65" s="46" t="e">
        <f t="shared" si="45"/>
        <v>#VALUE!</v>
      </c>
      <c r="CC65" s="46" t="e">
        <f t="shared" si="45"/>
        <v>#VALUE!</v>
      </c>
      <c r="CD65" s="46" t="e">
        <f t="shared" si="45"/>
        <v>#VALUE!</v>
      </c>
      <c r="CE65" s="46" t="e">
        <f t="shared" si="45"/>
        <v>#VALUE!</v>
      </c>
      <c r="CF65" s="46" t="e">
        <f t="shared" si="45"/>
        <v>#VALUE!</v>
      </c>
      <c r="CG65" s="46" t="e">
        <f t="shared" si="45"/>
        <v>#VALUE!</v>
      </c>
      <c r="CH65" s="46" t="e">
        <f t="shared" si="45"/>
        <v>#VALUE!</v>
      </c>
      <c r="CI65" s="46" t="e">
        <f t="shared" si="45"/>
        <v>#VALUE!</v>
      </c>
      <c r="CJ65" s="46" t="e">
        <f t="shared" si="45"/>
        <v>#VALUE!</v>
      </c>
      <c r="CK65" s="46" t="e">
        <f t="shared" si="45"/>
        <v>#VALUE!</v>
      </c>
      <c r="CL65" s="46" t="e">
        <f t="shared" si="45"/>
        <v>#VALUE!</v>
      </c>
      <c r="CM65" s="46" t="e">
        <f t="shared" si="45"/>
        <v>#VALUE!</v>
      </c>
      <c r="CN65" s="46" t="e">
        <f t="shared" si="45"/>
        <v>#VALUE!</v>
      </c>
      <c r="CO65" s="46" t="e">
        <f t="shared" si="45"/>
        <v>#VALUE!</v>
      </c>
      <c r="CP65" s="46" t="e">
        <f t="shared" si="45"/>
        <v>#VALUE!</v>
      </c>
      <c r="CQ65" s="46" t="e">
        <f t="shared" si="45"/>
        <v>#VALUE!</v>
      </c>
      <c r="CR65" s="46" t="e">
        <f t="shared" si="45"/>
        <v>#VALUE!</v>
      </c>
      <c r="CS65" s="46" t="e">
        <f t="shared" si="45"/>
        <v>#VALUE!</v>
      </c>
      <c r="CT65" s="46" t="e">
        <f t="shared" si="45"/>
        <v>#VALUE!</v>
      </c>
      <c r="CU65" s="46" t="e">
        <f t="shared" si="45"/>
        <v>#VALUE!</v>
      </c>
      <c r="CV65" s="46" t="e">
        <f t="shared" si="45"/>
        <v>#VALUE!</v>
      </c>
      <c r="CW65" s="46" t="e">
        <f t="shared" si="45"/>
        <v>#VALUE!</v>
      </c>
      <c r="CX65" s="46" t="e">
        <f t="shared" si="45"/>
        <v>#VALUE!</v>
      </c>
      <c r="CY65" s="46" t="e">
        <f t="shared" si="45"/>
        <v>#VALUE!</v>
      </c>
      <c r="CZ65" s="46" t="e">
        <f t="shared" si="45"/>
        <v>#VALUE!</v>
      </c>
      <c r="DA65" s="46" t="e">
        <f t="shared" si="45"/>
        <v>#VALUE!</v>
      </c>
    </row>
    <row r="66" spans="1:105" x14ac:dyDescent="0.25">
      <c r="B66" t="s">
        <v>15</v>
      </c>
      <c r="E66" s="46" t="e">
        <f>IF(ISNUMBER(FIND("R",$B$17)),(E40-E12)^2,(E39-E12)^2)</f>
        <v>#VALUE!</v>
      </c>
      <c r="F66" s="46" t="e">
        <f t="shared" ref="F66:BQ66" si="46">IF(ISNUMBER(FIND("R",$B$17)),(F40-F12)^2,(F39-F12)^2)</f>
        <v>#VALUE!</v>
      </c>
      <c r="G66" s="46" t="e">
        <f t="shared" si="46"/>
        <v>#VALUE!</v>
      </c>
      <c r="H66" s="46" t="e">
        <f t="shared" si="46"/>
        <v>#VALUE!</v>
      </c>
      <c r="I66" s="46" t="e">
        <f t="shared" si="46"/>
        <v>#VALUE!</v>
      </c>
      <c r="J66" s="46" t="e">
        <f t="shared" si="46"/>
        <v>#VALUE!</v>
      </c>
      <c r="K66" s="46" t="e">
        <f t="shared" si="46"/>
        <v>#VALUE!</v>
      </c>
      <c r="L66" s="46" t="e">
        <f t="shared" si="46"/>
        <v>#VALUE!</v>
      </c>
      <c r="M66" s="46" t="e">
        <f t="shared" si="46"/>
        <v>#VALUE!</v>
      </c>
      <c r="N66" s="46" t="e">
        <f t="shared" si="46"/>
        <v>#VALUE!</v>
      </c>
      <c r="O66" s="46" t="e">
        <f t="shared" si="46"/>
        <v>#VALUE!</v>
      </c>
      <c r="P66" s="46" t="e">
        <f t="shared" si="46"/>
        <v>#VALUE!</v>
      </c>
      <c r="Q66" s="46" t="e">
        <f t="shared" si="46"/>
        <v>#VALUE!</v>
      </c>
      <c r="R66" s="46" t="e">
        <f t="shared" si="46"/>
        <v>#VALUE!</v>
      </c>
      <c r="S66" s="46" t="e">
        <f t="shared" si="46"/>
        <v>#VALUE!</v>
      </c>
      <c r="T66" s="46" t="e">
        <f t="shared" si="46"/>
        <v>#VALUE!</v>
      </c>
      <c r="U66" s="46" t="e">
        <f t="shared" si="46"/>
        <v>#VALUE!</v>
      </c>
      <c r="V66" s="46" t="e">
        <f t="shared" si="46"/>
        <v>#VALUE!</v>
      </c>
      <c r="W66" s="46" t="e">
        <f t="shared" si="46"/>
        <v>#VALUE!</v>
      </c>
      <c r="X66" s="46" t="e">
        <f t="shared" si="46"/>
        <v>#VALUE!</v>
      </c>
      <c r="Y66" s="46" t="e">
        <f t="shared" si="46"/>
        <v>#VALUE!</v>
      </c>
      <c r="Z66" s="46" t="e">
        <f t="shared" si="46"/>
        <v>#VALUE!</v>
      </c>
      <c r="AA66" s="46" t="e">
        <f t="shared" si="46"/>
        <v>#VALUE!</v>
      </c>
      <c r="AB66" s="46" t="e">
        <f t="shared" si="46"/>
        <v>#VALUE!</v>
      </c>
      <c r="AC66" s="46" t="e">
        <f t="shared" si="46"/>
        <v>#VALUE!</v>
      </c>
      <c r="AD66" s="46" t="e">
        <f t="shared" si="46"/>
        <v>#VALUE!</v>
      </c>
      <c r="AE66" s="46" t="e">
        <f t="shared" si="46"/>
        <v>#VALUE!</v>
      </c>
      <c r="AF66" s="46" t="e">
        <f t="shared" si="46"/>
        <v>#VALUE!</v>
      </c>
      <c r="AG66" s="46" t="e">
        <f t="shared" si="46"/>
        <v>#VALUE!</v>
      </c>
      <c r="AH66" s="46" t="e">
        <f t="shared" si="46"/>
        <v>#VALUE!</v>
      </c>
      <c r="AI66" s="46" t="e">
        <f t="shared" si="46"/>
        <v>#VALUE!</v>
      </c>
      <c r="AJ66" s="46" t="e">
        <f t="shared" si="46"/>
        <v>#VALUE!</v>
      </c>
      <c r="AK66" s="46" t="e">
        <f t="shared" si="46"/>
        <v>#VALUE!</v>
      </c>
      <c r="AL66" s="46" t="e">
        <f t="shared" si="46"/>
        <v>#VALUE!</v>
      </c>
      <c r="AM66" s="46" t="e">
        <f t="shared" si="46"/>
        <v>#VALUE!</v>
      </c>
      <c r="AN66" s="46" t="e">
        <f t="shared" si="46"/>
        <v>#VALUE!</v>
      </c>
      <c r="AO66" s="46" t="e">
        <f t="shared" si="46"/>
        <v>#VALUE!</v>
      </c>
      <c r="AP66" s="46" t="e">
        <f t="shared" si="46"/>
        <v>#VALUE!</v>
      </c>
      <c r="AQ66" s="46" t="e">
        <f t="shared" si="46"/>
        <v>#VALUE!</v>
      </c>
      <c r="AR66" s="46" t="e">
        <f t="shared" si="46"/>
        <v>#VALUE!</v>
      </c>
      <c r="AS66" s="46" t="e">
        <f t="shared" si="46"/>
        <v>#VALUE!</v>
      </c>
      <c r="AT66" s="46" t="e">
        <f t="shared" si="46"/>
        <v>#VALUE!</v>
      </c>
      <c r="AU66" s="46" t="e">
        <f t="shared" si="46"/>
        <v>#VALUE!</v>
      </c>
      <c r="AV66" s="46" t="e">
        <f t="shared" si="46"/>
        <v>#VALUE!</v>
      </c>
      <c r="AW66" s="46" t="e">
        <f t="shared" si="46"/>
        <v>#VALUE!</v>
      </c>
      <c r="AX66" s="46" t="e">
        <f t="shared" si="46"/>
        <v>#VALUE!</v>
      </c>
      <c r="AY66" s="46" t="e">
        <f t="shared" si="46"/>
        <v>#VALUE!</v>
      </c>
      <c r="AZ66" s="46" t="e">
        <f t="shared" si="46"/>
        <v>#VALUE!</v>
      </c>
      <c r="BA66" s="46" t="e">
        <f t="shared" si="46"/>
        <v>#VALUE!</v>
      </c>
      <c r="BB66" s="46" t="e">
        <f t="shared" si="46"/>
        <v>#VALUE!</v>
      </c>
      <c r="BC66" s="46" t="e">
        <f t="shared" si="46"/>
        <v>#VALUE!</v>
      </c>
      <c r="BD66" s="46" t="e">
        <f t="shared" si="46"/>
        <v>#VALUE!</v>
      </c>
      <c r="BE66" s="46" t="e">
        <f t="shared" si="46"/>
        <v>#VALUE!</v>
      </c>
      <c r="BF66" s="46" t="e">
        <f t="shared" si="46"/>
        <v>#VALUE!</v>
      </c>
      <c r="BG66" s="46" t="e">
        <f t="shared" si="46"/>
        <v>#VALUE!</v>
      </c>
      <c r="BH66" s="46" t="e">
        <f t="shared" si="46"/>
        <v>#VALUE!</v>
      </c>
      <c r="BI66" s="46" t="e">
        <f t="shared" si="46"/>
        <v>#VALUE!</v>
      </c>
      <c r="BJ66" s="46" t="e">
        <f t="shared" si="46"/>
        <v>#VALUE!</v>
      </c>
      <c r="BK66" s="46" t="e">
        <f t="shared" si="46"/>
        <v>#VALUE!</v>
      </c>
      <c r="BL66" s="46" t="e">
        <f t="shared" si="46"/>
        <v>#VALUE!</v>
      </c>
      <c r="BM66" s="46" t="e">
        <f t="shared" si="46"/>
        <v>#VALUE!</v>
      </c>
      <c r="BN66" s="46" t="e">
        <f t="shared" si="46"/>
        <v>#VALUE!</v>
      </c>
      <c r="BO66" s="46" t="e">
        <f t="shared" si="46"/>
        <v>#VALUE!</v>
      </c>
      <c r="BP66" s="46" t="e">
        <f t="shared" si="46"/>
        <v>#VALUE!</v>
      </c>
      <c r="BQ66" s="46" t="e">
        <f t="shared" si="46"/>
        <v>#VALUE!</v>
      </c>
      <c r="BR66" s="46" t="e">
        <f t="shared" ref="BR66:DA66" si="47">IF(ISNUMBER(FIND("R",$B$17)),(BR40-BR12)^2,(BR39-BR12)^2)</f>
        <v>#VALUE!</v>
      </c>
      <c r="BS66" s="46" t="e">
        <f t="shared" si="47"/>
        <v>#VALUE!</v>
      </c>
      <c r="BT66" s="46" t="e">
        <f t="shared" si="47"/>
        <v>#VALUE!</v>
      </c>
      <c r="BU66" s="46" t="e">
        <f t="shared" si="47"/>
        <v>#VALUE!</v>
      </c>
      <c r="BV66" s="46" t="e">
        <f t="shared" si="47"/>
        <v>#VALUE!</v>
      </c>
      <c r="BW66" s="46" t="e">
        <f t="shared" si="47"/>
        <v>#VALUE!</v>
      </c>
      <c r="BX66" s="46" t="e">
        <f t="shared" si="47"/>
        <v>#VALUE!</v>
      </c>
      <c r="BY66" s="46" t="e">
        <f t="shared" si="47"/>
        <v>#VALUE!</v>
      </c>
      <c r="BZ66" s="46" t="e">
        <f t="shared" si="47"/>
        <v>#VALUE!</v>
      </c>
      <c r="CA66" s="46" t="e">
        <f t="shared" si="47"/>
        <v>#VALUE!</v>
      </c>
      <c r="CB66" s="46" t="e">
        <f t="shared" si="47"/>
        <v>#VALUE!</v>
      </c>
      <c r="CC66" s="46" t="e">
        <f t="shared" si="47"/>
        <v>#VALUE!</v>
      </c>
      <c r="CD66" s="46" t="e">
        <f t="shared" si="47"/>
        <v>#VALUE!</v>
      </c>
      <c r="CE66" s="46" t="e">
        <f t="shared" si="47"/>
        <v>#VALUE!</v>
      </c>
      <c r="CF66" s="46" t="e">
        <f t="shared" si="47"/>
        <v>#VALUE!</v>
      </c>
      <c r="CG66" s="46" t="e">
        <f t="shared" si="47"/>
        <v>#VALUE!</v>
      </c>
      <c r="CH66" s="46" t="e">
        <f t="shared" si="47"/>
        <v>#VALUE!</v>
      </c>
      <c r="CI66" s="46" t="e">
        <f t="shared" si="47"/>
        <v>#VALUE!</v>
      </c>
      <c r="CJ66" s="46" t="e">
        <f t="shared" si="47"/>
        <v>#VALUE!</v>
      </c>
      <c r="CK66" s="46" t="e">
        <f t="shared" si="47"/>
        <v>#VALUE!</v>
      </c>
      <c r="CL66" s="46" t="e">
        <f t="shared" si="47"/>
        <v>#VALUE!</v>
      </c>
      <c r="CM66" s="46" t="e">
        <f t="shared" si="47"/>
        <v>#VALUE!</v>
      </c>
      <c r="CN66" s="46" t="e">
        <f t="shared" si="47"/>
        <v>#VALUE!</v>
      </c>
      <c r="CO66" s="46" t="e">
        <f t="shared" si="47"/>
        <v>#VALUE!</v>
      </c>
      <c r="CP66" s="46" t="e">
        <f t="shared" si="47"/>
        <v>#VALUE!</v>
      </c>
      <c r="CQ66" s="46" t="e">
        <f t="shared" si="47"/>
        <v>#VALUE!</v>
      </c>
      <c r="CR66" s="46" t="e">
        <f t="shared" si="47"/>
        <v>#VALUE!</v>
      </c>
      <c r="CS66" s="46" t="e">
        <f t="shared" si="47"/>
        <v>#VALUE!</v>
      </c>
      <c r="CT66" s="46" t="e">
        <f t="shared" si="47"/>
        <v>#VALUE!</v>
      </c>
      <c r="CU66" s="46" t="e">
        <f t="shared" si="47"/>
        <v>#VALUE!</v>
      </c>
      <c r="CV66" s="46" t="e">
        <f t="shared" si="47"/>
        <v>#VALUE!</v>
      </c>
      <c r="CW66" s="46" t="e">
        <f t="shared" si="47"/>
        <v>#VALUE!</v>
      </c>
      <c r="CX66" s="46" t="e">
        <f t="shared" si="47"/>
        <v>#VALUE!</v>
      </c>
      <c r="CY66" s="46" t="e">
        <f t="shared" si="47"/>
        <v>#VALUE!</v>
      </c>
      <c r="CZ66" s="46" t="e">
        <f t="shared" si="47"/>
        <v>#VALUE!</v>
      </c>
      <c r="DA66" s="46" t="e">
        <f t="shared" si="47"/>
        <v>#VALUE!</v>
      </c>
    </row>
    <row r="68" spans="1:105" x14ac:dyDescent="0.25">
      <c r="G68" s="11" t="s">
        <v>33</v>
      </c>
      <c r="H68" s="12"/>
      <c r="I68" s="12"/>
      <c r="J68" s="12"/>
      <c r="K68" s="12"/>
      <c r="M68" s="11" t="s">
        <v>34</v>
      </c>
      <c r="N68" s="12"/>
      <c r="O68" s="12"/>
      <c r="P68" s="12"/>
    </row>
    <row r="69" spans="1:105" x14ac:dyDescent="0.25">
      <c r="A69" s="1" t="s">
        <v>18</v>
      </c>
      <c r="B69" t="s">
        <v>8</v>
      </c>
      <c r="C69" s="4" t="e">
        <f>AVERAGE(E43:DA43)^0.5</f>
        <v>#VALUE!</v>
      </c>
      <c r="D69" s="4" t="e">
        <f t="shared" ref="D69:D92" si="48">STDEV(E43:DA43)^0.5</f>
        <v>#VALUE!</v>
      </c>
      <c r="E69" s="2"/>
      <c r="F69" s="2"/>
      <c r="G69" s="12"/>
      <c r="H69" s="12" t="s">
        <v>26</v>
      </c>
      <c r="I69" s="12" t="s">
        <v>24</v>
      </c>
      <c r="J69" s="12" t="s">
        <v>23</v>
      </c>
      <c r="K69" s="14" t="s">
        <v>36</v>
      </c>
      <c r="M69" s="12" t="s">
        <v>26</v>
      </c>
      <c r="N69" s="12" t="s">
        <v>24</v>
      </c>
      <c r="O69" s="14" t="s">
        <v>23</v>
      </c>
      <c r="P69" s="12" t="s">
        <v>36</v>
      </c>
    </row>
    <row r="70" spans="1:105" x14ac:dyDescent="0.25">
      <c r="B70" t="s">
        <v>7</v>
      </c>
      <c r="C70" s="4" t="e">
        <f t="shared" ref="C70:C92" si="49">AVERAGE(E44:DA44)^0.5</f>
        <v>#VALUE!</v>
      </c>
      <c r="D70" s="4" t="e">
        <f t="shared" si="48"/>
        <v>#VALUE!</v>
      </c>
      <c r="G70" s="12" t="s">
        <v>22</v>
      </c>
      <c r="H70" s="13" t="e">
        <f>J70</f>
        <v>#VALUE!</v>
      </c>
      <c r="I70" s="13" t="e">
        <f>J70</f>
        <v>#VALUE!</v>
      </c>
      <c r="J70" s="13" t="e">
        <f>AVERAGE(C69:C70)</f>
        <v>#VALUE!</v>
      </c>
      <c r="K70" s="13"/>
      <c r="M70" s="12"/>
      <c r="N70" s="12"/>
      <c r="O70" s="13" t="e">
        <f>AVERAGE(D69:D70)</f>
        <v>#VALUE!</v>
      </c>
      <c r="P70" s="12"/>
    </row>
    <row r="71" spans="1:105" x14ac:dyDescent="0.25">
      <c r="B71" t="s">
        <v>10</v>
      </c>
      <c r="C71" s="4" t="e">
        <f t="shared" si="49"/>
        <v>#VALUE!</v>
      </c>
      <c r="D71" s="4" t="e">
        <f t="shared" si="48"/>
        <v>#VALUE!</v>
      </c>
      <c r="G71" s="12" t="s">
        <v>25</v>
      </c>
      <c r="H71" s="13" t="e">
        <f>C71</f>
        <v>#VALUE!</v>
      </c>
      <c r="I71" s="13" t="e">
        <f>C72</f>
        <v>#VALUE!</v>
      </c>
      <c r="J71" s="13"/>
      <c r="K71" s="13"/>
      <c r="M71" s="13" t="e">
        <f>D71</f>
        <v>#VALUE!</v>
      </c>
      <c r="N71" s="13" t="e">
        <f>D72</f>
        <v>#VALUE!</v>
      </c>
      <c r="O71" s="12"/>
      <c r="P71" s="12"/>
    </row>
    <row r="72" spans="1:105" x14ac:dyDescent="0.25">
      <c r="B72" t="s">
        <v>9</v>
      </c>
      <c r="C72" s="4" t="e">
        <f t="shared" si="49"/>
        <v>#VALUE!</v>
      </c>
      <c r="D72" s="4" t="e">
        <f t="shared" si="48"/>
        <v>#VALUE!</v>
      </c>
      <c r="G72" s="12" t="s">
        <v>27</v>
      </c>
      <c r="H72" s="13" t="e">
        <f>C73</f>
        <v>#VALUE!</v>
      </c>
      <c r="I72" s="13" t="e">
        <f>C74</f>
        <v>#VALUE!</v>
      </c>
      <c r="J72" s="13"/>
      <c r="K72" s="13"/>
      <c r="M72" s="13" t="e">
        <f>D73</f>
        <v>#VALUE!</v>
      </c>
      <c r="N72" s="13" t="e">
        <f>D74</f>
        <v>#VALUE!</v>
      </c>
      <c r="O72" s="12"/>
      <c r="P72" s="12"/>
    </row>
    <row r="73" spans="1:105" x14ac:dyDescent="0.25">
      <c r="B73" t="s">
        <v>12</v>
      </c>
      <c r="C73" s="4" t="e">
        <f t="shared" si="49"/>
        <v>#VALUE!</v>
      </c>
      <c r="D73" s="4" t="e">
        <f t="shared" si="48"/>
        <v>#VALUE!</v>
      </c>
      <c r="G73" s="12" t="s">
        <v>39</v>
      </c>
      <c r="H73" s="13" t="e">
        <f>C75</f>
        <v>#VALUE!</v>
      </c>
      <c r="I73" s="13" t="e">
        <f>C76</f>
        <v>#VALUE!</v>
      </c>
      <c r="J73" s="13"/>
      <c r="K73" s="13"/>
      <c r="M73" s="13" t="e">
        <f>D75</f>
        <v>#VALUE!</v>
      </c>
      <c r="N73" s="13" t="e">
        <f>D76</f>
        <v>#VALUE!</v>
      </c>
      <c r="O73" s="12"/>
      <c r="P73" s="12"/>
    </row>
    <row r="74" spans="1:105" x14ac:dyDescent="0.25">
      <c r="B74" t="s">
        <v>11</v>
      </c>
      <c r="C74" s="4" t="e">
        <f t="shared" si="49"/>
        <v>#VALUE!</v>
      </c>
      <c r="D74" s="4" t="e">
        <f t="shared" si="48"/>
        <v>#VALUE!</v>
      </c>
      <c r="G74" s="12" t="s">
        <v>28</v>
      </c>
      <c r="H74" s="13" t="e">
        <f>J74</f>
        <v>#VALUE!</v>
      </c>
      <c r="I74" s="13" t="e">
        <f>J74</f>
        <v>#VALUE!</v>
      </c>
      <c r="J74" s="13" t="e">
        <f>AVERAGE(C77:C78)</f>
        <v>#VALUE!</v>
      </c>
      <c r="K74" s="13"/>
      <c r="M74" s="12"/>
      <c r="N74" s="12"/>
      <c r="O74" s="13" t="e">
        <f>AVERAGE(D77:D78)</f>
        <v>#VALUE!</v>
      </c>
      <c r="P74" s="12"/>
    </row>
    <row r="75" spans="1:105" x14ac:dyDescent="0.25">
      <c r="B75" t="s">
        <v>14</v>
      </c>
      <c r="C75" s="4" t="e">
        <f t="shared" si="49"/>
        <v>#VALUE!</v>
      </c>
      <c r="D75" s="4" t="e">
        <f t="shared" si="48"/>
        <v>#VALUE!</v>
      </c>
      <c r="G75" s="12" t="s">
        <v>29</v>
      </c>
      <c r="H75" s="13" t="e">
        <f>C79</f>
        <v>#VALUE!</v>
      </c>
      <c r="I75" s="13" t="e">
        <f>C80</f>
        <v>#VALUE!</v>
      </c>
      <c r="J75" s="13"/>
      <c r="K75" s="13"/>
      <c r="M75" s="13" t="e">
        <f>D79</f>
        <v>#VALUE!</v>
      </c>
      <c r="N75" s="13" t="e">
        <f>D80</f>
        <v>#VALUE!</v>
      </c>
      <c r="O75" s="12"/>
      <c r="P75" s="12"/>
    </row>
    <row r="76" spans="1:105" x14ac:dyDescent="0.25">
      <c r="B76" t="s">
        <v>13</v>
      </c>
      <c r="C76" s="4" t="e">
        <f t="shared" si="49"/>
        <v>#VALUE!</v>
      </c>
      <c r="D76" s="4" t="e">
        <f t="shared" si="48"/>
        <v>#VALUE!</v>
      </c>
      <c r="G76" s="12" t="s">
        <v>38</v>
      </c>
      <c r="H76" s="13" t="e">
        <f>C81</f>
        <v>#VALUE!</v>
      </c>
      <c r="I76" s="13" t="e">
        <f>C82</f>
        <v>#VALUE!</v>
      </c>
      <c r="J76" s="13"/>
      <c r="K76" s="13"/>
      <c r="M76" s="13" t="e">
        <f>D81</f>
        <v>#VALUE!</v>
      </c>
      <c r="N76" s="13" t="e">
        <f>D82</f>
        <v>#VALUE!</v>
      </c>
      <c r="O76" s="12"/>
      <c r="P76" s="12"/>
    </row>
    <row r="77" spans="1:105" x14ac:dyDescent="0.25">
      <c r="B77" t="s">
        <v>8</v>
      </c>
      <c r="C77" s="4" t="e">
        <f t="shared" si="49"/>
        <v>#VALUE!</v>
      </c>
      <c r="D77" s="4" t="e">
        <f t="shared" si="48"/>
        <v>#VALUE!</v>
      </c>
      <c r="G77" s="12" t="s">
        <v>114</v>
      </c>
      <c r="H77" s="13" t="e">
        <f>J77</f>
        <v>#VALUE!</v>
      </c>
      <c r="I77" s="13" t="e">
        <f>J77</f>
        <v>#VALUE!</v>
      </c>
      <c r="J77" s="13" t="e">
        <f>AVERAGE(C83:C84)</f>
        <v>#VALUE!</v>
      </c>
      <c r="K77" s="13"/>
      <c r="M77" s="12"/>
      <c r="N77" s="12"/>
      <c r="O77" s="13" t="e">
        <f>AVERAGE(D83:D84)</f>
        <v>#VALUE!</v>
      </c>
      <c r="P77" s="12"/>
    </row>
    <row r="78" spans="1:105" x14ac:dyDescent="0.25">
      <c r="B78" t="s">
        <v>7</v>
      </c>
      <c r="C78" s="4" t="e">
        <f t="shared" si="49"/>
        <v>#VALUE!</v>
      </c>
      <c r="D78" s="4" t="e">
        <f t="shared" si="48"/>
        <v>#VALUE!</v>
      </c>
      <c r="G78" s="12" t="s">
        <v>37</v>
      </c>
      <c r="H78" s="13" t="e">
        <f>C85</f>
        <v>#VALUE!</v>
      </c>
      <c r="I78" s="13" t="e">
        <f>C86</f>
        <v>#VALUE!</v>
      </c>
      <c r="J78" s="13"/>
      <c r="K78" s="13"/>
      <c r="M78" s="13" t="e">
        <f>D85</f>
        <v>#VALUE!</v>
      </c>
      <c r="N78" s="13" t="e">
        <f>D86</f>
        <v>#VALUE!</v>
      </c>
      <c r="O78" s="12"/>
      <c r="P78" s="12"/>
    </row>
    <row r="79" spans="1:105" x14ac:dyDescent="0.25">
      <c r="B79" t="s">
        <v>10</v>
      </c>
      <c r="C79" s="4" t="e">
        <f t="shared" si="49"/>
        <v>#VALUE!</v>
      </c>
      <c r="D79" s="4" t="e">
        <f t="shared" si="48"/>
        <v>#VALUE!</v>
      </c>
      <c r="G79" s="12" t="s">
        <v>31</v>
      </c>
      <c r="H79" s="13" t="e">
        <f>C89</f>
        <v>#VALUE!</v>
      </c>
      <c r="I79" s="13" t="e">
        <f>C90</f>
        <v>#VALUE!</v>
      </c>
      <c r="J79" s="13"/>
      <c r="K79" s="13"/>
      <c r="M79" s="13" t="e">
        <f>D89</f>
        <v>#VALUE!</v>
      </c>
      <c r="N79" s="13" t="e">
        <f>D90</f>
        <v>#VALUE!</v>
      </c>
      <c r="O79" s="12"/>
      <c r="P79" s="12"/>
    </row>
    <row r="80" spans="1:105" x14ac:dyDescent="0.25">
      <c r="B80" t="s">
        <v>9</v>
      </c>
      <c r="C80" s="4" t="e">
        <f t="shared" si="49"/>
        <v>#VALUE!</v>
      </c>
      <c r="D80" s="4" t="e">
        <f t="shared" si="48"/>
        <v>#VALUE!</v>
      </c>
      <c r="G80" s="12" t="s">
        <v>32</v>
      </c>
      <c r="H80" s="13" t="e">
        <f>C91</f>
        <v>#VALUE!</v>
      </c>
      <c r="I80" s="13" t="e">
        <f>C92</f>
        <v>#VALUE!</v>
      </c>
      <c r="J80" s="13"/>
      <c r="K80" s="13"/>
      <c r="M80" s="13" t="e">
        <f>D91</f>
        <v>#VALUE!</v>
      </c>
      <c r="N80" s="13" t="e">
        <f>D92</f>
        <v>#VALUE!</v>
      </c>
      <c r="O80" s="12"/>
      <c r="P80" s="12"/>
    </row>
    <row r="81" spans="2:16" x14ac:dyDescent="0.25">
      <c r="B81" t="s">
        <v>12</v>
      </c>
      <c r="C81" s="4" t="e">
        <f t="shared" si="49"/>
        <v>#VALUE!</v>
      </c>
      <c r="D81" s="4" t="e">
        <f t="shared" si="48"/>
        <v>#VALUE!</v>
      </c>
      <c r="G81" s="12" t="s">
        <v>35</v>
      </c>
      <c r="H81" s="13" t="e">
        <f>G83</f>
        <v>#VALUE!</v>
      </c>
      <c r="I81" s="13" t="e">
        <f>G84</f>
        <v>#VALUE!</v>
      </c>
      <c r="J81" s="12"/>
      <c r="K81" s="13" t="e">
        <f>G85</f>
        <v>#VALUE!</v>
      </c>
      <c r="M81" s="13" t="e">
        <f>AVERAGE(M70:M80,O70,O74,O77)</f>
        <v>#VALUE!</v>
      </c>
      <c r="N81" s="13" t="e">
        <f>AVERAGE(N70:N80,O70,O74,O77)</f>
        <v>#VALUE!</v>
      </c>
      <c r="O81" s="12"/>
      <c r="P81" s="13" t="e">
        <f>AVERAGE(M81:N81)</f>
        <v>#VALUE!</v>
      </c>
    </row>
    <row r="82" spans="2:16" x14ac:dyDescent="0.25">
      <c r="B82" t="s">
        <v>11</v>
      </c>
      <c r="C82" s="4" t="e">
        <f t="shared" si="49"/>
        <v>#VALUE!</v>
      </c>
      <c r="D82" s="45" t="e">
        <f t="shared" si="48"/>
        <v>#VALUE!</v>
      </c>
      <c r="G82" s="14" t="s">
        <v>21</v>
      </c>
      <c r="H82" s="13" t="e">
        <f>K81</f>
        <v>#VALUE!</v>
      </c>
      <c r="I82" s="13" t="e">
        <f>K81</f>
        <v>#VALUE!</v>
      </c>
      <c r="J82" s="12"/>
      <c r="K82" s="12"/>
    </row>
    <row r="83" spans="2:16" x14ac:dyDescent="0.25">
      <c r="B83" t="s">
        <v>8</v>
      </c>
      <c r="C83" s="4" t="e">
        <f t="shared" si="49"/>
        <v>#VALUE!</v>
      </c>
      <c r="D83" s="4" t="e">
        <f t="shared" si="48"/>
        <v>#VALUE!</v>
      </c>
      <c r="F83" s="5" t="s">
        <v>20</v>
      </c>
      <c r="G83" s="8" t="e">
        <f>AVERAGE(C69,C71,C73,C75,C77,C79,C81,C83,C85,C89,C91)</f>
        <v>#VALUE!</v>
      </c>
    </row>
    <row r="84" spans="2:16" x14ac:dyDescent="0.25">
      <c r="B84" t="s">
        <v>7</v>
      </c>
      <c r="C84" s="4" t="e">
        <f t="shared" si="49"/>
        <v>#VALUE!</v>
      </c>
      <c r="D84" s="4" t="e">
        <f t="shared" si="48"/>
        <v>#VALUE!</v>
      </c>
      <c r="F84" s="7" t="s">
        <v>19</v>
      </c>
      <c r="G84" s="8" t="e">
        <f>AVERAGE(C70,C72,C74,C76,C78,C80,C82,C84,C86,C90,C92)</f>
        <v>#VALUE!</v>
      </c>
    </row>
    <row r="85" spans="2:16" x14ac:dyDescent="0.25">
      <c r="B85" t="s">
        <v>10</v>
      </c>
      <c r="C85" s="4" t="e">
        <f t="shared" si="49"/>
        <v>#VALUE!</v>
      </c>
      <c r="D85" s="4" t="e">
        <f t="shared" si="48"/>
        <v>#VALUE!</v>
      </c>
      <c r="F85" s="9" t="s">
        <v>21</v>
      </c>
      <c r="G85" s="10" t="e">
        <f>AVERAGE(G83:G84)</f>
        <v>#VALUE!</v>
      </c>
    </row>
    <row r="86" spans="2:16" x14ac:dyDescent="0.25">
      <c r="B86" t="s">
        <v>9</v>
      </c>
      <c r="C86" s="4" t="e">
        <f t="shared" si="49"/>
        <v>#VALUE!</v>
      </c>
      <c r="D86" s="4" t="e">
        <f t="shared" si="48"/>
        <v>#VALUE!</v>
      </c>
    </row>
    <row r="87" spans="2:16" x14ac:dyDescent="0.25">
      <c r="B87" t="s">
        <v>12</v>
      </c>
      <c r="C87" s="4" t="e">
        <f t="shared" si="49"/>
        <v>#VALUE!</v>
      </c>
      <c r="D87" s="4" t="e">
        <f t="shared" si="48"/>
        <v>#VALUE!</v>
      </c>
      <c r="F87" t="s">
        <v>104</v>
      </c>
    </row>
    <row r="88" spans="2:16" x14ac:dyDescent="0.25">
      <c r="B88" t="s">
        <v>11</v>
      </c>
      <c r="C88" s="4" t="e">
        <f t="shared" si="49"/>
        <v>#VALUE!</v>
      </c>
      <c r="D88" s="4" t="e">
        <f t="shared" si="48"/>
        <v>#VALUE!</v>
      </c>
      <c r="G88" s="12"/>
      <c r="H88" s="12" t="s">
        <v>26</v>
      </c>
      <c r="I88" s="12" t="s">
        <v>24</v>
      </c>
      <c r="J88" s="12" t="s">
        <v>23</v>
      </c>
      <c r="K88" s="14" t="s">
        <v>36</v>
      </c>
      <c r="M88" s="12" t="s">
        <v>26</v>
      </c>
      <c r="N88" s="12" t="s">
        <v>24</v>
      </c>
      <c r="O88" s="14" t="s">
        <v>23</v>
      </c>
      <c r="P88" s="12" t="s">
        <v>36</v>
      </c>
    </row>
    <row r="89" spans="2:16" x14ac:dyDescent="0.25">
      <c r="B89" t="s">
        <v>14</v>
      </c>
      <c r="C89" s="4" t="e">
        <f t="shared" si="49"/>
        <v>#VALUE!</v>
      </c>
      <c r="D89" s="4" t="e">
        <f t="shared" si="48"/>
        <v>#VALUE!</v>
      </c>
      <c r="G89" s="12" t="s">
        <v>22</v>
      </c>
      <c r="H89" s="12"/>
      <c r="I89" s="12"/>
      <c r="J89" s="13" t="e">
        <f>'Normal GPS values'!D20</f>
        <v>#VALUE!</v>
      </c>
      <c r="K89" s="13" t="e">
        <f>J89</f>
        <v>#VALUE!</v>
      </c>
      <c r="M89" s="12"/>
      <c r="N89" s="12"/>
      <c r="O89" s="13" t="e">
        <f>'Normal GPS values'!D21</f>
        <v>#VALUE!</v>
      </c>
      <c r="P89" s="13" t="e">
        <f>O89</f>
        <v>#VALUE!</v>
      </c>
    </row>
    <row r="90" spans="2:16" x14ac:dyDescent="0.25">
      <c r="B90" t="s">
        <v>13</v>
      </c>
      <c r="C90" s="4" t="e">
        <f t="shared" si="49"/>
        <v>#VALUE!</v>
      </c>
      <c r="D90" s="4" t="e">
        <f t="shared" si="48"/>
        <v>#VALUE!</v>
      </c>
      <c r="G90" s="12" t="s">
        <v>25</v>
      </c>
      <c r="H90" s="13" t="e">
        <f>'Normal GPS values'!F20</f>
        <v>#VALUE!</v>
      </c>
      <c r="I90" s="13" t="e">
        <f>'Normal GPS values'!E20</f>
        <v>#VALUE!</v>
      </c>
      <c r="J90" s="13"/>
      <c r="K90" s="13" t="e">
        <f>AVERAGE(H90:I90)</f>
        <v>#VALUE!</v>
      </c>
      <c r="M90" s="13" t="e">
        <f>'Normal GPS values'!F21</f>
        <v>#VALUE!</v>
      </c>
      <c r="N90" s="13" t="e">
        <f>'Normal GPS values'!E21</f>
        <v>#VALUE!</v>
      </c>
      <c r="O90" s="12"/>
      <c r="P90" s="13" t="e">
        <f>AVERAGE(M90:N90)</f>
        <v>#VALUE!</v>
      </c>
    </row>
    <row r="91" spans="2:16" x14ac:dyDescent="0.25">
      <c r="B91" t="s">
        <v>16</v>
      </c>
      <c r="C91" s="4" t="e">
        <f t="shared" si="49"/>
        <v>#VALUE!</v>
      </c>
      <c r="D91" s="4" t="e">
        <f t="shared" si="48"/>
        <v>#VALUE!</v>
      </c>
      <c r="G91" s="12" t="s">
        <v>27</v>
      </c>
      <c r="H91" s="13" t="e">
        <f>'Normal GPS values'!H20</f>
        <v>#VALUE!</v>
      </c>
      <c r="I91" s="13" t="e">
        <f>'Normal GPS values'!G20</f>
        <v>#VALUE!</v>
      </c>
      <c r="J91" s="13"/>
      <c r="K91" s="13" t="e">
        <f t="shared" ref="K91:K99" si="50">AVERAGE(H91:I91)</f>
        <v>#VALUE!</v>
      </c>
      <c r="M91" s="13" t="e">
        <f>'Normal GPS values'!H21</f>
        <v>#VALUE!</v>
      </c>
      <c r="N91" s="13" t="e">
        <f>'Normal GPS values'!G21</f>
        <v>#VALUE!</v>
      </c>
      <c r="O91" s="12"/>
      <c r="P91" s="13" t="e">
        <f t="shared" ref="P91:P99" si="51">AVERAGE(M91:N91)</f>
        <v>#VALUE!</v>
      </c>
    </row>
    <row r="92" spans="2:16" x14ac:dyDescent="0.25">
      <c r="B92" t="s">
        <v>15</v>
      </c>
      <c r="C92" s="4" t="e">
        <f t="shared" si="49"/>
        <v>#VALUE!</v>
      </c>
      <c r="D92" s="4" t="e">
        <f t="shared" si="48"/>
        <v>#VALUE!</v>
      </c>
      <c r="G92" s="12" t="s">
        <v>39</v>
      </c>
      <c r="H92" s="13" t="e">
        <f>'Normal GPS values'!J20</f>
        <v>#VALUE!</v>
      </c>
      <c r="I92" s="13" t="e">
        <f>'Normal GPS values'!I20</f>
        <v>#VALUE!</v>
      </c>
      <c r="J92" s="13"/>
      <c r="K92" s="13" t="e">
        <f t="shared" si="50"/>
        <v>#VALUE!</v>
      </c>
      <c r="M92" s="13" t="e">
        <f>'Normal GPS values'!J21</f>
        <v>#VALUE!</v>
      </c>
      <c r="N92" s="13" t="e">
        <f>'Normal GPS values'!I21</f>
        <v>#VALUE!</v>
      </c>
      <c r="O92" s="12"/>
      <c r="P92" s="13" t="e">
        <f t="shared" si="51"/>
        <v>#VALUE!</v>
      </c>
    </row>
    <row r="93" spans="2:16" x14ac:dyDescent="0.25">
      <c r="G93" s="12" t="s">
        <v>28</v>
      </c>
      <c r="H93" s="12"/>
      <c r="I93" s="12"/>
      <c r="J93" s="13" t="e">
        <f>'Normal GPS values'!K20</f>
        <v>#VALUE!</v>
      </c>
      <c r="K93" s="13" t="e">
        <f>J93</f>
        <v>#VALUE!</v>
      </c>
      <c r="M93" s="12"/>
      <c r="N93" s="12"/>
      <c r="O93" s="13" t="e">
        <f>'Normal GPS values'!K21</f>
        <v>#VALUE!</v>
      </c>
      <c r="P93" s="13" t="e">
        <f>O93</f>
        <v>#VALUE!</v>
      </c>
    </row>
    <row r="94" spans="2:16" x14ac:dyDescent="0.25">
      <c r="G94" s="12" t="s">
        <v>29</v>
      </c>
      <c r="H94" s="13" t="e">
        <f>'Normal GPS values'!M20</f>
        <v>#VALUE!</v>
      </c>
      <c r="I94" s="13" t="e">
        <f>'Normal GPS values'!L20</f>
        <v>#VALUE!</v>
      </c>
      <c r="J94" s="13"/>
      <c r="K94" s="13" t="e">
        <f t="shared" si="50"/>
        <v>#VALUE!</v>
      </c>
      <c r="M94" s="13" t="e">
        <f>'Normal GPS values'!M21</f>
        <v>#VALUE!</v>
      </c>
      <c r="N94" s="13" t="e">
        <f>'Normal GPS values'!L21</f>
        <v>#VALUE!</v>
      </c>
      <c r="O94" s="12"/>
      <c r="P94" s="13" t="e">
        <f t="shared" si="51"/>
        <v>#VALUE!</v>
      </c>
    </row>
    <row r="95" spans="2:16" x14ac:dyDescent="0.25">
      <c r="G95" s="12" t="s">
        <v>38</v>
      </c>
      <c r="H95" s="13" t="e">
        <f>'Normal GPS values'!O20</f>
        <v>#VALUE!</v>
      </c>
      <c r="I95" s="13" t="e">
        <f>'Normal GPS values'!N20</f>
        <v>#VALUE!</v>
      </c>
      <c r="J95" s="13"/>
      <c r="K95" s="13" t="e">
        <f t="shared" si="50"/>
        <v>#VALUE!</v>
      </c>
      <c r="M95" s="13" t="e">
        <f>'Normal GPS values'!O21</f>
        <v>#VALUE!</v>
      </c>
      <c r="N95" s="13" t="e">
        <f>'Normal GPS values'!N21</f>
        <v>#VALUE!</v>
      </c>
      <c r="O95" s="12"/>
      <c r="P95" s="13" t="e">
        <f t="shared" si="51"/>
        <v>#VALUE!</v>
      </c>
    </row>
    <row r="96" spans="2:16" x14ac:dyDescent="0.25">
      <c r="G96" s="12" t="s">
        <v>30</v>
      </c>
      <c r="H96" s="12"/>
      <c r="I96" s="12"/>
      <c r="J96" s="13" t="e">
        <f>'Normal GPS values'!P20</f>
        <v>#VALUE!</v>
      </c>
      <c r="K96" s="13" t="e">
        <f>J96</f>
        <v>#VALUE!</v>
      </c>
      <c r="M96" s="12"/>
      <c r="N96" s="12"/>
      <c r="O96" s="13" t="e">
        <f>'Normal GPS values'!P21</f>
        <v>#VALUE!</v>
      </c>
      <c r="P96" s="13" t="e">
        <f>O96</f>
        <v>#VALUE!</v>
      </c>
    </row>
    <row r="97" spans="6:17" x14ac:dyDescent="0.25">
      <c r="G97" s="12" t="s">
        <v>37</v>
      </c>
      <c r="H97" s="13" t="e">
        <f>'Normal GPS values'!R20</f>
        <v>#VALUE!</v>
      </c>
      <c r="I97" s="13" t="e">
        <f>'Normal GPS values'!Q20</f>
        <v>#VALUE!</v>
      </c>
      <c r="J97" s="13"/>
      <c r="K97" s="13" t="e">
        <f t="shared" si="50"/>
        <v>#VALUE!</v>
      </c>
      <c r="M97" s="13" t="e">
        <f>'Normal GPS values'!R21</f>
        <v>#VALUE!</v>
      </c>
      <c r="N97" s="13" t="e">
        <f>'Normal GPS values'!Q21</f>
        <v>#VALUE!</v>
      </c>
      <c r="O97" s="12"/>
      <c r="P97" s="13" t="e">
        <f t="shared" si="51"/>
        <v>#VALUE!</v>
      </c>
    </row>
    <row r="98" spans="6:17" x14ac:dyDescent="0.25">
      <c r="G98" s="12" t="s">
        <v>31</v>
      </c>
      <c r="H98" s="13" t="e">
        <f>'Normal GPS values'!T20</f>
        <v>#VALUE!</v>
      </c>
      <c r="I98" s="13" t="e">
        <f>'Normal GPS values'!S20</f>
        <v>#VALUE!</v>
      </c>
      <c r="J98" s="13"/>
      <c r="K98" s="13" t="e">
        <f t="shared" si="50"/>
        <v>#VALUE!</v>
      </c>
      <c r="M98" s="13" t="e">
        <f>'Normal GPS values'!T21</f>
        <v>#VALUE!</v>
      </c>
      <c r="N98" s="13" t="e">
        <f>'Normal GPS values'!S21</f>
        <v>#VALUE!</v>
      </c>
      <c r="O98" s="12"/>
      <c r="P98" s="13" t="e">
        <f t="shared" si="51"/>
        <v>#VALUE!</v>
      </c>
    </row>
    <row r="99" spans="6:17" x14ac:dyDescent="0.25">
      <c r="G99" s="12" t="s">
        <v>32</v>
      </c>
      <c r="H99" s="13" t="e">
        <f>'Normal GPS values'!V20</f>
        <v>#VALUE!</v>
      </c>
      <c r="I99" s="13" t="e">
        <f>'Normal GPS values'!U20</f>
        <v>#VALUE!</v>
      </c>
      <c r="J99" s="13"/>
      <c r="K99" s="13" t="e">
        <f t="shared" si="50"/>
        <v>#VALUE!</v>
      </c>
      <c r="M99" s="13" t="e">
        <f>'Normal GPS values'!V21</f>
        <v>#VALUE!</v>
      </c>
      <c r="N99" s="13" t="e">
        <f>'Normal GPS values'!U21</f>
        <v>#VALUE!</v>
      </c>
      <c r="O99" s="12"/>
      <c r="P99" s="13" t="e">
        <f t="shared" si="51"/>
        <v>#VALUE!</v>
      </c>
    </row>
    <row r="100" spans="6:17" x14ac:dyDescent="0.25">
      <c r="G100" s="12" t="s">
        <v>35</v>
      </c>
      <c r="H100" s="13" t="e">
        <f>'Normal GPS values'!X20</f>
        <v>#VALUE!</v>
      </c>
      <c r="I100" s="13" t="e">
        <f>'Normal GPS values'!W20</f>
        <v>#VALUE!</v>
      </c>
      <c r="J100" s="12"/>
      <c r="K100" s="13" t="e">
        <f>'Normal GPS values'!Y20</f>
        <v>#VALUE!</v>
      </c>
      <c r="M100" s="13" t="e">
        <f>'Normal GPS values'!X21</f>
        <v>#VALUE!</v>
      </c>
      <c r="N100" s="13" t="e">
        <f>'Normal GPS values'!W21</f>
        <v>#VALUE!</v>
      </c>
      <c r="O100" s="12"/>
      <c r="P100" s="13" t="e">
        <f>'Normal GPS values'!Y21</f>
        <v>#VALUE!</v>
      </c>
    </row>
    <row r="101" spans="6:17" x14ac:dyDescent="0.25">
      <c r="G101" s="14" t="s">
        <v>21</v>
      </c>
      <c r="H101" s="13"/>
      <c r="I101" s="13"/>
      <c r="J101" s="12"/>
      <c r="K101" s="13" t="e">
        <f>K100</f>
        <v>#VALUE!</v>
      </c>
      <c r="M101" s="13" t="e">
        <f>P100</f>
        <v>#VALUE!</v>
      </c>
      <c r="N101" s="13" t="e">
        <f>P100</f>
        <v>#VALUE!</v>
      </c>
      <c r="O101" s="12"/>
      <c r="P101" s="13" t="e">
        <f>P100</f>
        <v>#VALUE!</v>
      </c>
    </row>
    <row r="104" spans="6:17" x14ac:dyDescent="0.25">
      <c r="F104" t="s">
        <v>112</v>
      </c>
      <c r="M104" t="s">
        <v>113</v>
      </c>
    </row>
    <row r="105" spans="6:17" x14ac:dyDescent="0.25">
      <c r="G105" s="12"/>
      <c r="H105" s="12" t="s">
        <v>26</v>
      </c>
      <c r="I105" s="12" t="s">
        <v>24</v>
      </c>
      <c r="J105" s="12" t="s">
        <v>23</v>
      </c>
      <c r="K105" s="14" t="s">
        <v>36</v>
      </c>
      <c r="M105" s="12"/>
      <c r="N105" s="12" t="s">
        <v>26</v>
      </c>
      <c r="O105" s="12" t="s">
        <v>24</v>
      </c>
      <c r="P105" s="12" t="s">
        <v>23</v>
      </c>
      <c r="Q105" s="14" t="s">
        <v>36</v>
      </c>
    </row>
    <row r="106" spans="6:17" x14ac:dyDescent="0.25">
      <c r="G106" s="12" t="s">
        <v>22</v>
      </c>
      <c r="H106" s="13"/>
      <c r="I106" s="13"/>
      <c r="J106" s="13" t="e">
        <f>J70-J89</f>
        <v>#VALUE!</v>
      </c>
      <c r="K106" s="13"/>
      <c r="M106" s="12" t="s">
        <v>22</v>
      </c>
      <c r="N106" s="13"/>
      <c r="O106" s="13"/>
      <c r="P106" s="13" t="e">
        <f>IF(J106&gt;0,J106,0)</f>
        <v>#VALUE!</v>
      </c>
      <c r="Q106" s="13"/>
    </row>
    <row r="107" spans="6:17" x14ac:dyDescent="0.25">
      <c r="G107" s="12" t="s">
        <v>25</v>
      </c>
      <c r="H107" s="13" t="e">
        <f t="shared" ref="H107:I109" si="52">H71-H90</f>
        <v>#VALUE!</v>
      </c>
      <c r="I107" s="13" t="e">
        <f t="shared" si="52"/>
        <v>#VALUE!</v>
      </c>
      <c r="J107" s="13"/>
      <c r="K107" s="13"/>
      <c r="M107" s="12" t="s">
        <v>25</v>
      </c>
      <c r="N107" s="13" t="e">
        <f t="shared" ref="N107:N117" si="53">IF(H107&gt;0,H107,0)</f>
        <v>#VALUE!</v>
      </c>
      <c r="O107" s="13" t="e">
        <f t="shared" ref="O107:O117" si="54">IF(I107&gt;0,I107,0)</f>
        <v>#VALUE!</v>
      </c>
      <c r="P107" s="13"/>
      <c r="Q107" s="13"/>
    </row>
    <row r="108" spans="6:17" x14ac:dyDescent="0.25">
      <c r="G108" s="12" t="s">
        <v>27</v>
      </c>
      <c r="H108" s="13" t="e">
        <f t="shared" si="52"/>
        <v>#VALUE!</v>
      </c>
      <c r="I108" s="13" t="e">
        <f t="shared" si="52"/>
        <v>#VALUE!</v>
      </c>
      <c r="J108" s="13"/>
      <c r="K108" s="13"/>
      <c r="M108" s="12" t="s">
        <v>27</v>
      </c>
      <c r="N108" s="13" t="e">
        <f t="shared" si="53"/>
        <v>#VALUE!</v>
      </c>
      <c r="O108" s="13" t="e">
        <f t="shared" si="54"/>
        <v>#VALUE!</v>
      </c>
      <c r="P108" s="13"/>
      <c r="Q108" s="13"/>
    </row>
    <row r="109" spans="6:17" x14ac:dyDescent="0.25">
      <c r="G109" s="12" t="s">
        <v>39</v>
      </c>
      <c r="H109" s="13" t="e">
        <f t="shared" si="52"/>
        <v>#VALUE!</v>
      </c>
      <c r="I109" s="13" t="e">
        <f t="shared" si="52"/>
        <v>#VALUE!</v>
      </c>
      <c r="J109" s="13"/>
      <c r="K109" s="13"/>
      <c r="M109" s="12" t="s">
        <v>39</v>
      </c>
      <c r="N109" s="13" t="e">
        <f t="shared" si="53"/>
        <v>#VALUE!</v>
      </c>
      <c r="O109" s="13" t="e">
        <f t="shared" si="54"/>
        <v>#VALUE!</v>
      </c>
      <c r="P109" s="13"/>
      <c r="Q109" s="13"/>
    </row>
    <row r="110" spans="6:17" x14ac:dyDescent="0.25">
      <c r="G110" s="12" t="s">
        <v>28</v>
      </c>
      <c r="H110" s="13"/>
      <c r="I110" s="13"/>
      <c r="J110" s="13" t="e">
        <f>J74-J93</f>
        <v>#VALUE!</v>
      </c>
      <c r="K110" s="13"/>
      <c r="M110" s="12" t="s">
        <v>28</v>
      </c>
      <c r="N110" s="13"/>
      <c r="O110" s="13"/>
      <c r="P110" s="13" t="e">
        <f>IF(J110&gt;0,J110,0)</f>
        <v>#VALUE!</v>
      </c>
      <c r="Q110" s="13"/>
    </row>
    <row r="111" spans="6:17" x14ac:dyDescent="0.25">
      <c r="G111" s="12" t="s">
        <v>29</v>
      </c>
      <c r="H111" s="13" t="e">
        <f>H75-H94</f>
        <v>#VALUE!</v>
      </c>
      <c r="I111" s="13" t="e">
        <f>I75-I94</f>
        <v>#VALUE!</v>
      </c>
      <c r="J111" s="13"/>
      <c r="K111" s="13"/>
      <c r="M111" s="12" t="s">
        <v>29</v>
      </c>
      <c r="N111" s="13" t="e">
        <f t="shared" si="53"/>
        <v>#VALUE!</v>
      </c>
      <c r="O111" s="13" t="e">
        <f t="shared" si="54"/>
        <v>#VALUE!</v>
      </c>
      <c r="P111" s="13"/>
      <c r="Q111" s="13"/>
    </row>
    <row r="112" spans="6:17" x14ac:dyDescent="0.25">
      <c r="G112" s="12" t="s">
        <v>38</v>
      </c>
      <c r="H112" s="13" t="e">
        <f>H76-H95</f>
        <v>#VALUE!</v>
      </c>
      <c r="I112" s="13" t="e">
        <f>I76-I95</f>
        <v>#VALUE!</v>
      </c>
      <c r="J112" s="13"/>
      <c r="K112" s="13"/>
      <c r="M112" s="12" t="s">
        <v>38</v>
      </c>
      <c r="N112" s="13" t="e">
        <f t="shared" si="53"/>
        <v>#VALUE!</v>
      </c>
      <c r="O112" s="13" t="e">
        <f t="shared" si="54"/>
        <v>#VALUE!</v>
      </c>
      <c r="P112" s="13"/>
      <c r="Q112" s="13"/>
    </row>
    <row r="113" spans="7:17" x14ac:dyDescent="0.25">
      <c r="G113" s="12" t="s">
        <v>30</v>
      </c>
      <c r="H113" s="13"/>
      <c r="I113" s="13"/>
      <c r="J113" s="13" t="e">
        <f>J77-J96</f>
        <v>#VALUE!</v>
      </c>
      <c r="K113" s="13"/>
      <c r="M113" s="12" t="s">
        <v>30</v>
      </c>
      <c r="N113" s="13"/>
      <c r="O113" s="13"/>
      <c r="P113" s="13" t="e">
        <f>IF(J113&gt;0,J113,0)</f>
        <v>#VALUE!</v>
      </c>
      <c r="Q113" s="13"/>
    </row>
    <row r="114" spans="7:17" x14ac:dyDescent="0.25">
      <c r="G114" s="12" t="s">
        <v>37</v>
      </c>
      <c r="H114" s="13" t="e">
        <f t="shared" ref="H114:I117" si="55">H78-H97</f>
        <v>#VALUE!</v>
      </c>
      <c r="I114" s="13" t="e">
        <f t="shared" si="55"/>
        <v>#VALUE!</v>
      </c>
      <c r="J114" s="13"/>
      <c r="K114" s="13"/>
      <c r="M114" s="12" t="s">
        <v>37</v>
      </c>
      <c r="N114" s="13" t="e">
        <f t="shared" si="53"/>
        <v>#VALUE!</v>
      </c>
      <c r="O114" s="13" t="e">
        <f t="shared" si="54"/>
        <v>#VALUE!</v>
      </c>
      <c r="P114" s="13"/>
      <c r="Q114" s="13"/>
    </row>
    <row r="115" spans="7:17" x14ac:dyDescent="0.25">
      <c r="G115" s="12" t="s">
        <v>31</v>
      </c>
      <c r="H115" s="13" t="e">
        <f t="shared" si="55"/>
        <v>#VALUE!</v>
      </c>
      <c r="I115" s="13" t="e">
        <f t="shared" si="55"/>
        <v>#VALUE!</v>
      </c>
      <c r="J115" s="13"/>
      <c r="K115" s="13"/>
      <c r="M115" s="12" t="s">
        <v>31</v>
      </c>
      <c r="N115" s="13" t="e">
        <f t="shared" si="53"/>
        <v>#VALUE!</v>
      </c>
      <c r="O115" s="13" t="e">
        <f t="shared" si="54"/>
        <v>#VALUE!</v>
      </c>
      <c r="P115" s="13"/>
      <c r="Q115" s="13"/>
    </row>
    <row r="116" spans="7:17" x14ac:dyDescent="0.25">
      <c r="G116" s="12" t="s">
        <v>32</v>
      </c>
      <c r="H116" s="13" t="e">
        <f t="shared" si="55"/>
        <v>#VALUE!</v>
      </c>
      <c r="I116" s="13" t="e">
        <f t="shared" si="55"/>
        <v>#VALUE!</v>
      </c>
      <c r="J116" s="13"/>
      <c r="K116" s="13"/>
      <c r="M116" s="12" t="s">
        <v>32</v>
      </c>
      <c r="N116" s="13" t="e">
        <f t="shared" si="53"/>
        <v>#VALUE!</v>
      </c>
      <c r="O116" s="13" t="e">
        <f t="shared" si="54"/>
        <v>#VALUE!</v>
      </c>
      <c r="P116" s="13"/>
      <c r="Q116" s="13"/>
    </row>
    <row r="117" spans="7:17" x14ac:dyDescent="0.25">
      <c r="G117" s="12" t="s">
        <v>35</v>
      </c>
      <c r="H117" s="13" t="e">
        <f t="shared" si="55"/>
        <v>#VALUE!</v>
      </c>
      <c r="I117" s="13" t="e">
        <f t="shared" si="55"/>
        <v>#VALUE!</v>
      </c>
      <c r="J117" s="13"/>
      <c r="K117" s="13" t="e">
        <f>K81-K100</f>
        <v>#VALUE!</v>
      </c>
      <c r="M117" s="12" t="s">
        <v>35</v>
      </c>
      <c r="N117" s="13" t="e">
        <f t="shared" si="53"/>
        <v>#VALUE!</v>
      </c>
      <c r="O117" s="13" t="e">
        <f t="shared" si="54"/>
        <v>#VALUE!</v>
      </c>
      <c r="P117" s="13"/>
      <c r="Q117" s="13" t="e">
        <f>IF(K117&gt;0,K117,0)</f>
        <v>#VALUE!</v>
      </c>
    </row>
  </sheetData>
  <mergeCells count="3">
    <mergeCell ref="C14:D14"/>
    <mergeCell ref="G14:I14"/>
    <mergeCell ref="L14:N14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C95"/>
  <sheetViews>
    <sheetView topLeftCell="A32" workbookViewId="0">
      <selection activeCell="C68" sqref="C68"/>
    </sheetView>
  </sheetViews>
  <sheetFormatPr defaultRowHeight="13.2" x14ac:dyDescent="0.25"/>
  <cols>
    <col min="1" max="1" width="13" customWidth="1"/>
    <col min="2" max="2" width="20.109375" customWidth="1"/>
    <col min="3" max="3" width="7.44140625" customWidth="1"/>
    <col min="4" max="4" width="7.5546875" style="2" customWidth="1"/>
    <col min="5" max="5" width="11.44140625" customWidth="1"/>
    <col min="6" max="6" width="11.33203125" customWidth="1"/>
    <col min="7" max="7" width="9.88671875" customWidth="1"/>
    <col min="11" max="11" width="9.33203125" customWidth="1"/>
    <col min="13" max="13" width="12" customWidth="1"/>
  </cols>
  <sheetData>
    <row r="1" spans="1:107" x14ac:dyDescent="0.25">
      <c r="A1" t="s">
        <v>0</v>
      </c>
      <c r="B1" t="s">
        <v>1</v>
      </c>
      <c r="C1">
        <v>20</v>
      </c>
      <c r="D1" s="3" t="s">
        <v>2</v>
      </c>
      <c r="E1" t="e">
        <f>'Normal gait variables'!F20</f>
        <v>#VALUE!</v>
      </c>
      <c r="F1" t="e">
        <f>'Normal gait variables'!G20</f>
        <v>#VALUE!</v>
      </c>
      <c r="G1" t="e">
        <f>'Normal gait variables'!H20</f>
        <v>#VALUE!</v>
      </c>
      <c r="H1" t="e">
        <f>'Normal gait variables'!I20</f>
        <v>#VALUE!</v>
      </c>
      <c r="I1" t="e">
        <f>'Normal gait variables'!J20</f>
        <v>#VALUE!</v>
      </c>
      <c r="J1" t="e">
        <f>'Normal gait variables'!K20</f>
        <v>#VALUE!</v>
      </c>
      <c r="K1" t="e">
        <f>'Normal gait variables'!L20</f>
        <v>#VALUE!</v>
      </c>
      <c r="L1" t="e">
        <f>'Normal gait variables'!M20</f>
        <v>#VALUE!</v>
      </c>
      <c r="M1" t="e">
        <f>'Normal gait variables'!N20</f>
        <v>#VALUE!</v>
      </c>
      <c r="N1" t="e">
        <f>'Normal gait variables'!O20</f>
        <v>#VALUE!</v>
      </c>
      <c r="O1" t="e">
        <f>'Normal gait variables'!P20</f>
        <v>#VALUE!</v>
      </c>
      <c r="P1" t="e">
        <f>'Normal gait variables'!Q20</f>
        <v>#VALUE!</v>
      </c>
      <c r="Q1" t="e">
        <f>'Normal gait variables'!R20</f>
        <v>#VALUE!</v>
      </c>
      <c r="R1" t="e">
        <f>'Normal gait variables'!S20</f>
        <v>#VALUE!</v>
      </c>
      <c r="S1" t="e">
        <f>'Normal gait variables'!T20</f>
        <v>#VALUE!</v>
      </c>
      <c r="T1" t="e">
        <f>'Normal gait variables'!U20</f>
        <v>#VALUE!</v>
      </c>
      <c r="U1" t="e">
        <f>'Normal gait variables'!V20</f>
        <v>#VALUE!</v>
      </c>
      <c r="V1" t="e">
        <f>'Normal gait variables'!W20</f>
        <v>#VALUE!</v>
      </c>
      <c r="W1" t="e">
        <f>'Normal gait variables'!X20</f>
        <v>#VALUE!</v>
      </c>
      <c r="X1" t="e">
        <f>'Normal gait variables'!Y20</f>
        <v>#VALUE!</v>
      </c>
      <c r="Y1" t="e">
        <f>'Normal gait variables'!Z20</f>
        <v>#VALUE!</v>
      </c>
      <c r="Z1" t="e">
        <f>'Normal gait variables'!AA20</f>
        <v>#VALUE!</v>
      </c>
      <c r="AA1" t="e">
        <f>'Normal gait variables'!AB20</f>
        <v>#VALUE!</v>
      </c>
      <c r="AB1" t="e">
        <f>'Normal gait variables'!AC20</f>
        <v>#VALUE!</v>
      </c>
      <c r="AC1" t="e">
        <f>'Normal gait variables'!AD20</f>
        <v>#VALUE!</v>
      </c>
      <c r="AD1" t="e">
        <f>'Normal gait variables'!AE20</f>
        <v>#VALUE!</v>
      </c>
      <c r="AE1" t="e">
        <f>'Normal gait variables'!AF20</f>
        <v>#VALUE!</v>
      </c>
      <c r="AF1" t="e">
        <f>'Normal gait variables'!AG20</f>
        <v>#VALUE!</v>
      </c>
      <c r="AG1" t="e">
        <f>'Normal gait variables'!AH20</f>
        <v>#VALUE!</v>
      </c>
      <c r="AH1" t="e">
        <f>'Normal gait variables'!AI20</f>
        <v>#VALUE!</v>
      </c>
      <c r="AI1" t="e">
        <f>'Normal gait variables'!AJ20</f>
        <v>#VALUE!</v>
      </c>
      <c r="AJ1" t="e">
        <f>'Normal gait variables'!AK20</f>
        <v>#VALUE!</v>
      </c>
      <c r="AK1" t="e">
        <f>'Normal gait variables'!AL20</f>
        <v>#VALUE!</v>
      </c>
      <c r="AL1" t="e">
        <f>'Normal gait variables'!AM20</f>
        <v>#VALUE!</v>
      </c>
      <c r="AM1" t="e">
        <f>'Normal gait variables'!AN20</f>
        <v>#VALUE!</v>
      </c>
      <c r="AN1" t="e">
        <f>'Normal gait variables'!AO20</f>
        <v>#VALUE!</v>
      </c>
      <c r="AO1" t="e">
        <f>'Normal gait variables'!AP20</f>
        <v>#VALUE!</v>
      </c>
      <c r="AP1" t="e">
        <f>'Normal gait variables'!AQ20</f>
        <v>#VALUE!</v>
      </c>
      <c r="AQ1" t="e">
        <f>'Normal gait variables'!AR20</f>
        <v>#VALUE!</v>
      </c>
      <c r="AR1" t="e">
        <f>'Normal gait variables'!AS20</f>
        <v>#VALUE!</v>
      </c>
      <c r="AS1" t="e">
        <f>'Normal gait variables'!AT20</f>
        <v>#VALUE!</v>
      </c>
      <c r="AT1" t="e">
        <f>'Normal gait variables'!AU20</f>
        <v>#VALUE!</v>
      </c>
      <c r="AU1" t="e">
        <f>'Normal gait variables'!AV20</f>
        <v>#VALUE!</v>
      </c>
      <c r="AV1" t="e">
        <f>'Normal gait variables'!AW20</f>
        <v>#VALUE!</v>
      </c>
      <c r="AW1" t="e">
        <f>'Normal gait variables'!AX20</f>
        <v>#VALUE!</v>
      </c>
      <c r="AX1" t="e">
        <f>'Normal gait variables'!AY20</f>
        <v>#VALUE!</v>
      </c>
      <c r="AY1" t="e">
        <f>'Normal gait variables'!AZ20</f>
        <v>#VALUE!</v>
      </c>
      <c r="AZ1" t="e">
        <f>'Normal gait variables'!BA20</f>
        <v>#VALUE!</v>
      </c>
      <c r="BA1" t="e">
        <f>'Normal gait variables'!BB20</f>
        <v>#VALUE!</v>
      </c>
      <c r="BB1" t="e">
        <f>'Normal gait variables'!BC20</f>
        <v>#VALUE!</v>
      </c>
      <c r="BC1" t="e">
        <f>'Normal gait variables'!BD20</f>
        <v>#VALUE!</v>
      </c>
      <c r="BD1" t="e">
        <f>'Normal gait variables'!BE20</f>
        <v>#VALUE!</v>
      </c>
      <c r="BE1" t="e">
        <f>'Normal gait variables'!BF20</f>
        <v>#VALUE!</v>
      </c>
      <c r="BF1" t="e">
        <f>'Normal gait variables'!BG20</f>
        <v>#VALUE!</v>
      </c>
      <c r="BG1" t="e">
        <f>'Normal gait variables'!BH20</f>
        <v>#VALUE!</v>
      </c>
      <c r="BH1" t="e">
        <f>'Normal gait variables'!BI20</f>
        <v>#VALUE!</v>
      </c>
      <c r="BI1" t="e">
        <f>'Normal gait variables'!BJ20</f>
        <v>#VALUE!</v>
      </c>
      <c r="BJ1" t="e">
        <f>'Normal gait variables'!BK20</f>
        <v>#VALUE!</v>
      </c>
      <c r="BK1" t="e">
        <f>'Normal gait variables'!BL20</f>
        <v>#VALUE!</v>
      </c>
      <c r="BL1" t="e">
        <f>'Normal gait variables'!BM20</f>
        <v>#VALUE!</v>
      </c>
      <c r="BM1" t="e">
        <f>'Normal gait variables'!BN20</f>
        <v>#VALUE!</v>
      </c>
      <c r="BN1" t="e">
        <f>'Normal gait variables'!BO20</f>
        <v>#VALUE!</v>
      </c>
      <c r="BO1" t="e">
        <f>'Normal gait variables'!BP20</f>
        <v>#VALUE!</v>
      </c>
      <c r="BP1" t="e">
        <f>'Normal gait variables'!BQ20</f>
        <v>#VALUE!</v>
      </c>
      <c r="BQ1" t="e">
        <f>'Normal gait variables'!BR20</f>
        <v>#VALUE!</v>
      </c>
      <c r="BR1" t="e">
        <f>'Normal gait variables'!BS20</f>
        <v>#VALUE!</v>
      </c>
      <c r="BS1" t="e">
        <f>'Normal gait variables'!BT20</f>
        <v>#VALUE!</v>
      </c>
      <c r="BT1" t="e">
        <f>'Normal gait variables'!BU20</f>
        <v>#VALUE!</v>
      </c>
      <c r="BU1" t="e">
        <f>'Normal gait variables'!BV20</f>
        <v>#VALUE!</v>
      </c>
      <c r="BV1" t="e">
        <f>'Normal gait variables'!BW20</f>
        <v>#VALUE!</v>
      </c>
      <c r="BW1" t="e">
        <f>'Normal gait variables'!BX20</f>
        <v>#VALUE!</v>
      </c>
      <c r="BX1" t="e">
        <f>'Normal gait variables'!BY20</f>
        <v>#VALUE!</v>
      </c>
      <c r="BY1" t="e">
        <f>'Normal gait variables'!BZ20</f>
        <v>#VALUE!</v>
      </c>
      <c r="BZ1" t="e">
        <f>'Normal gait variables'!CA20</f>
        <v>#VALUE!</v>
      </c>
      <c r="CA1" t="e">
        <f>'Normal gait variables'!CB20</f>
        <v>#VALUE!</v>
      </c>
      <c r="CB1" t="e">
        <f>'Normal gait variables'!CC20</f>
        <v>#VALUE!</v>
      </c>
      <c r="CC1" t="e">
        <f>'Normal gait variables'!CD20</f>
        <v>#VALUE!</v>
      </c>
      <c r="CD1" t="e">
        <f>'Normal gait variables'!CE20</f>
        <v>#VALUE!</v>
      </c>
      <c r="CE1" t="e">
        <f>'Normal gait variables'!CF20</f>
        <v>#VALUE!</v>
      </c>
      <c r="CF1" t="e">
        <f>'Normal gait variables'!CG20</f>
        <v>#VALUE!</v>
      </c>
      <c r="CG1" t="e">
        <f>'Normal gait variables'!CH20</f>
        <v>#VALUE!</v>
      </c>
      <c r="CH1" t="e">
        <f>'Normal gait variables'!CI20</f>
        <v>#VALUE!</v>
      </c>
      <c r="CI1" t="e">
        <f>'Normal gait variables'!CJ20</f>
        <v>#VALUE!</v>
      </c>
      <c r="CJ1" t="e">
        <f>'Normal gait variables'!CK20</f>
        <v>#VALUE!</v>
      </c>
      <c r="CK1" t="e">
        <f>'Normal gait variables'!CL20</f>
        <v>#VALUE!</v>
      </c>
      <c r="CL1" t="e">
        <f>'Normal gait variables'!CM20</f>
        <v>#VALUE!</v>
      </c>
      <c r="CM1" t="e">
        <f>'Normal gait variables'!CN20</f>
        <v>#VALUE!</v>
      </c>
      <c r="CN1" t="e">
        <f>'Normal gait variables'!CO20</f>
        <v>#VALUE!</v>
      </c>
      <c r="CO1" t="e">
        <f>'Normal gait variables'!CP20</f>
        <v>#VALUE!</v>
      </c>
      <c r="CP1" t="e">
        <f>'Normal gait variables'!CQ20</f>
        <v>#VALUE!</v>
      </c>
      <c r="CQ1" t="e">
        <f>'Normal gait variables'!CR20</f>
        <v>#VALUE!</v>
      </c>
      <c r="CR1" t="e">
        <f>'Normal gait variables'!CS20</f>
        <v>#VALUE!</v>
      </c>
      <c r="CS1" t="e">
        <f>'Normal gait variables'!CT20</f>
        <v>#VALUE!</v>
      </c>
      <c r="CT1" t="e">
        <f>'Normal gait variables'!CU20</f>
        <v>#VALUE!</v>
      </c>
      <c r="CU1" t="e">
        <f>'Normal gait variables'!CV20</f>
        <v>#VALUE!</v>
      </c>
      <c r="CV1" t="e">
        <f>'Normal gait variables'!CW20</f>
        <v>#VALUE!</v>
      </c>
      <c r="CW1" t="e">
        <f>'Normal gait variables'!CX20</f>
        <v>#VALUE!</v>
      </c>
      <c r="CX1" t="e">
        <f>'Normal gait variables'!CY20</f>
        <v>#VALUE!</v>
      </c>
      <c r="CY1" t="e">
        <f>'Normal gait variables'!CZ20</f>
        <v>#VALUE!</v>
      </c>
      <c r="CZ1" t="e">
        <f>'Normal gait variables'!DA20</f>
        <v>#VALUE!</v>
      </c>
      <c r="DA1" t="e">
        <f>'Normal gait variables'!DB20</f>
        <v>#VALUE!</v>
      </c>
    </row>
    <row r="2" spans="1:107" x14ac:dyDescent="0.25">
      <c r="A2" t="s">
        <v>0</v>
      </c>
      <c r="B2" t="s">
        <v>3</v>
      </c>
      <c r="C2">
        <v>20</v>
      </c>
      <c r="D2" s="3" t="s">
        <v>2</v>
      </c>
      <c r="E2" t="e">
        <f>'Normal gait variables'!F21</f>
        <v>#VALUE!</v>
      </c>
      <c r="F2" t="e">
        <f>'Normal gait variables'!G21</f>
        <v>#VALUE!</v>
      </c>
      <c r="G2" t="e">
        <f>'Normal gait variables'!H21</f>
        <v>#VALUE!</v>
      </c>
      <c r="H2" t="e">
        <f>'Normal gait variables'!I21</f>
        <v>#VALUE!</v>
      </c>
      <c r="I2" t="e">
        <f>'Normal gait variables'!J21</f>
        <v>#VALUE!</v>
      </c>
      <c r="J2" t="e">
        <f>'Normal gait variables'!K21</f>
        <v>#VALUE!</v>
      </c>
      <c r="K2" t="e">
        <f>'Normal gait variables'!L21</f>
        <v>#VALUE!</v>
      </c>
      <c r="L2" t="e">
        <f>'Normal gait variables'!M21</f>
        <v>#VALUE!</v>
      </c>
      <c r="M2" t="e">
        <f>'Normal gait variables'!N21</f>
        <v>#VALUE!</v>
      </c>
      <c r="N2" t="e">
        <f>'Normal gait variables'!O21</f>
        <v>#VALUE!</v>
      </c>
      <c r="O2" t="e">
        <f>'Normal gait variables'!P21</f>
        <v>#VALUE!</v>
      </c>
      <c r="P2" t="e">
        <f>'Normal gait variables'!Q21</f>
        <v>#VALUE!</v>
      </c>
      <c r="Q2" t="e">
        <f>'Normal gait variables'!R21</f>
        <v>#VALUE!</v>
      </c>
      <c r="R2" t="e">
        <f>'Normal gait variables'!S21</f>
        <v>#VALUE!</v>
      </c>
      <c r="S2" t="e">
        <f>'Normal gait variables'!T21</f>
        <v>#VALUE!</v>
      </c>
      <c r="T2" t="e">
        <f>'Normal gait variables'!U21</f>
        <v>#VALUE!</v>
      </c>
      <c r="U2" t="e">
        <f>'Normal gait variables'!V21</f>
        <v>#VALUE!</v>
      </c>
      <c r="V2" t="e">
        <f>'Normal gait variables'!W21</f>
        <v>#VALUE!</v>
      </c>
      <c r="W2" t="e">
        <f>'Normal gait variables'!X21</f>
        <v>#VALUE!</v>
      </c>
      <c r="X2" t="e">
        <f>'Normal gait variables'!Y21</f>
        <v>#VALUE!</v>
      </c>
      <c r="Y2" t="e">
        <f>'Normal gait variables'!Z21</f>
        <v>#VALUE!</v>
      </c>
      <c r="Z2" t="e">
        <f>'Normal gait variables'!AA21</f>
        <v>#VALUE!</v>
      </c>
      <c r="AA2" t="e">
        <f>'Normal gait variables'!AB21</f>
        <v>#VALUE!</v>
      </c>
      <c r="AB2" t="e">
        <f>'Normal gait variables'!AC21</f>
        <v>#VALUE!</v>
      </c>
      <c r="AC2" t="e">
        <f>'Normal gait variables'!AD21</f>
        <v>#VALUE!</v>
      </c>
      <c r="AD2" t="e">
        <f>'Normal gait variables'!AE21</f>
        <v>#VALUE!</v>
      </c>
      <c r="AE2" t="e">
        <f>'Normal gait variables'!AF21</f>
        <v>#VALUE!</v>
      </c>
      <c r="AF2" t="e">
        <f>'Normal gait variables'!AG21</f>
        <v>#VALUE!</v>
      </c>
      <c r="AG2" t="e">
        <f>'Normal gait variables'!AH21</f>
        <v>#VALUE!</v>
      </c>
      <c r="AH2" t="e">
        <f>'Normal gait variables'!AI21</f>
        <v>#VALUE!</v>
      </c>
      <c r="AI2" t="e">
        <f>'Normal gait variables'!AJ21</f>
        <v>#VALUE!</v>
      </c>
      <c r="AJ2" t="e">
        <f>'Normal gait variables'!AK21</f>
        <v>#VALUE!</v>
      </c>
      <c r="AK2" t="e">
        <f>'Normal gait variables'!AL21</f>
        <v>#VALUE!</v>
      </c>
      <c r="AL2" t="e">
        <f>'Normal gait variables'!AM21</f>
        <v>#VALUE!</v>
      </c>
      <c r="AM2" t="e">
        <f>'Normal gait variables'!AN21</f>
        <v>#VALUE!</v>
      </c>
      <c r="AN2" t="e">
        <f>'Normal gait variables'!AO21</f>
        <v>#VALUE!</v>
      </c>
      <c r="AO2" t="e">
        <f>'Normal gait variables'!AP21</f>
        <v>#VALUE!</v>
      </c>
      <c r="AP2" t="e">
        <f>'Normal gait variables'!AQ21</f>
        <v>#VALUE!</v>
      </c>
      <c r="AQ2" t="e">
        <f>'Normal gait variables'!AR21</f>
        <v>#VALUE!</v>
      </c>
      <c r="AR2" t="e">
        <f>'Normal gait variables'!AS21</f>
        <v>#VALUE!</v>
      </c>
      <c r="AS2" t="e">
        <f>'Normal gait variables'!AT21</f>
        <v>#VALUE!</v>
      </c>
      <c r="AT2" t="e">
        <f>'Normal gait variables'!AU21</f>
        <v>#VALUE!</v>
      </c>
      <c r="AU2" t="e">
        <f>'Normal gait variables'!AV21</f>
        <v>#VALUE!</v>
      </c>
      <c r="AV2" t="e">
        <f>'Normal gait variables'!AW21</f>
        <v>#VALUE!</v>
      </c>
      <c r="AW2" t="e">
        <f>'Normal gait variables'!AX21</f>
        <v>#VALUE!</v>
      </c>
      <c r="AX2" t="e">
        <f>'Normal gait variables'!AY21</f>
        <v>#VALUE!</v>
      </c>
      <c r="AY2" t="e">
        <f>'Normal gait variables'!AZ21</f>
        <v>#VALUE!</v>
      </c>
      <c r="AZ2" t="e">
        <f>'Normal gait variables'!BA21</f>
        <v>#VALUE!</v>
      </c>
      <c r="BA2" t="e">
        <f>'Normal gait variables'!BB21</f>
        <v>#VALUE!</v>
      </c>
      <c r="BB2" t="e">
        <f>'Normal gait variables'!BC21</f>
        <v>#VALUE!</v>
      </c>
      <c r="BC2" t="e">
        <f>'Normal gait variables'!BD21</f>
        <v>#VALUE!</v>
      </c>
      <c r="BD2" t="e">
        <f>'Normal gait variables'!BE21</f>
        <v>#VALUE!</v>
      </c>
      <c r="BE2" t="e">
        <f>'Normal gait variables'!BF21</f>
        <v>#VALUE!</v>
      </c>
      <c r="BF2" t="e">
        <f>'Normal gait variables'!BG21</f>
        <v>#VALUE!</v>
      </c>
      <c r="BG2" t="e">
        <f>'Normal gait variables'!BH21</f>
        <v>#VALUE!</v>
      </c>
      <c r="BH2" t="e">
        <f>'Normal gait variables'!BI21</f>
        <v>#VALUE!</v>
      </c>
      <c r="BI2" t="e">
        <f>'Normal gait variables'!BJ21</f>
        <v>#VALUE!</v>
      </c>
      <c r="BJ2" t="e">
        <f>'Normal gait variables'!BK21</f>
        <v>#VALUE!</v>
      </c>
      <c r="BK2" t="e">
        <f>'Normal gait variables'!BL21</f>
        <v>#VALUE!</v>
      </c>
      <c r="BL2" t="e">
        <f>'Normal gait variables'!BM21</f>
        <v>#VALUE!</v>
      </c>
      <c r="BM2" t="e">
        <f>'Normal gait variables'!BN21</f>
        <v>#VALUE!</v>
      </c>
      <c r="BN2" t="e">
        <f>'Normal gait variables'!BO21</f>
        <v>#VALUE!</v>
      </c>
      <c r="BO2" t="e">
        <f>'Normal gait variables'!BP21</f>
        <v>#VALUE!</v>
      </c>
      <c r="BP2" t="e">
        <f>'Normal gait variables'!BQ21</f>
        <v>#VALUE!</v>
      </c>
      <c r="BQ2" t="e">
        <f>'Normal gait variables'!BR21</f>
        <v>#VALUE!</v>
      </c>
      <c r="BR2" t="e">
        <f>'Normal gait variables'!BS21</f>
        <v>#VALUE!</v>
      </c>
      <c r="BS2" t="e">
        <f>'Normal gait variables'!BT21</f>
        <v>#VALUE!</v>
      </c>
      <c r="BT2" t="e">
        <f>'Normal gait variables'!BU21</f>
        <v>#VALUE!</v>
      </c>
      <c r="BU2" t="e">
        <f>'Normal gait variables'!BV21</f>
        <v>#VALUE!</v>
      </c>
      <c r="BV2" t="e">
        <f>'Normal gait variables'!BW21</f>
        <v>#VALUE!</v>
      </c>
      <c r="BW2" t="e">
        <f>'Normal gait variables'!BX21</f>
        <v>#VALUE!</v>
      </c>
      <c r="BX2" t="e">
        <f>'Normal gait variables'!BY21</f>
        <v>#VALUE!</v>
      </c>
      <c r="BY2" t="e">
        <f>'Normal gait variables'!BZ21</f>
        <v>#VALUE!</v>
      </c>
      <c r="BZ2" t="e">
        <f>'Normal gait variables'!CA21</f>
        <v>#VALUE!</v>
      </c>
      <c r="CA2" t="e">
        <f>'Normal gait variables'!CB21</f>
        <v>#VALUE!</v>
      </c>
      <c r="CB2" t="e">
        <f>'Normal gait variables'!CC21</f>
        <v>#VALUE!</v>
      </c>
      <c r="CC2" t="e">
        <f>'Normal gait variables'!CD21</f>
        <v>#VALUE!</v>
      </c>
      <c r="CD2" t="e">
        <f>'Normal gait variables'!CE21</f>
        <v>#VALUE!</v>
      </c>
      <c r="CE2" t="e">
        <f>'Normal gait variables'!CF21</f>
        <v>#VALUE!</v>
      </c>
      <c r="CF2" t="e">
        <f>'Normal gait variables'!CG21</f>
        <v>#VALUE!</v>
      </c>
      <c r="CG2" t="e">
        <f>'Normal gait variables'!CH21</f>
        <v>#VALUE!</v>
      </c>
      <c r="CH2" t="e">
        <f>'Normal gait variables'!CI21</f>
        <v>#VALUE!</v>
      </c>
      <c r="CI2" t="e">
        <f>'Normal gait variables'!CJ21</f>
        <v>#VALUE!</v>
      </c>
      <c r="CJ2" t="e">
        <f>'Normal gait variables'!CK21</f>
        <v>#VALUE!</v>
      </c>
      <c r="CK2" t="e">
        <f>'Normal gait variables'!CL21</f>
        <v>#VALUE!</v>
      </c>
      <c r="CL2" t="e">
        <f>'Normal gait variables'!CM21</f>
        <v>#VALUE!</v>
      </c>
      <c r="CM2" t="e">
        <f>'Normal gait variables'!CN21</f>
        <v>#VALUE!</v>
      </c>
      <c r="CN2" t="e">
        <f>'Normal gait variables'!CO21</f>
        <v>#VALUE!</v>
      </c>
      <c r="CO2" t="e">
        <f>'Normal gait variables'!CP21</f>
        <v>#VALUE!</v>
      </c>
      <c r="CP2" t="e">
        <f>'Normal gait variables'!CQ21</f>
        <v>#VALUE!</v>
      </c>
      <c r="CQ2" t="e">
        <f>'Normal gait variables'!CR21</f>
        <v>#VALUE!</v>
      </c>
      <c r="CR2" t="e">
        <f>'Normal gait variables'!CS21</f>
        <v>#VALUE!</v>
      </c>
      <c r="CS2" t="e">
        <f>'Normal gait variables'!CT21</f>
        <v>#VALUE!</v>
      </c>
      <c r="CT2" t="e">
        <f>'Normal gait variables'!CU21</f>
        <v>#VALUE!</v>
      </c>
      <c r="CU2" t="e">
        <f>'Normal gait variables'!CV21</f>
        <v>#VALUE!</v>
      </c>
      <c r="CV2" t="e">
        <f>'Normal gait variables'!CW21</f>
        <v>#VALUE!</v>
      </c>
      <c r="CW2" t="e">
        <f>'Normal gait variables'!CX21</f>
        <v>#VALUE!</v>
      </c>
      <c r="CX2" t="e">
        <f>'Normal gait variables'!CY21</f>
        <v>#VALUE!</v>
      </c>
      <c r="CY2" t="e">
        <f>'Normal gait variables'!CZ21</f>
        <v>#VALUE!</v>
      </c>
      <c r="CZ2" t="e">
        <f>'Normal gait variables'!DA21</f>
        <v>#VALUE!</v>
      </c>
      <c r="DA2" t="e">
        <f>'Normal gait variables'!DB21</f>
        <v>#VALUE!</v>
      </c>
    </row>
    <row r="3" spans="1:107" x14ac:dyDescent="0.25">
      <c r="A3" t="s">
        <v>0</v>
      </c>
      <c r="B3" t="s">
        <v>4</v>
      </c>
      <c r="C3">
        <v>20</v>
      </c>
      <c r="D3" s="3" t="s">
        <v>2</v>
      </c>
      <c r="E3" t="e">
        <f>'Normal gait variables'!F22</f>
        <v>#VALUE!</v>
      </c>
      <c r="F3" t="e">
        <f>'Normal gait variables'!G22</f>
        <v>#VALUE!</v>
      </c>
      <c r="G3" t="e">
        <f>'Normal gait variables'!H22</f>
        <v>#VALUE!</v>
      </c>
      <c r="H3" t="e">
        <f>'Normal gait variables'!I22</f>
        <v>#VALUE!</v>
      </c>
      <c r="I3" t="e">
        <f>'Normal gait variables'!J22</f>
        <v>#VALUE!</v>
      </c>
      <c r="J3" t="e">
        <f>'Normal gait variables'!K22</f>
        <v>#VALUE!</v>
      </c>
      <c r="K3" t="e">
        <f>'Normal gait variables'!L22</f>
        <v>#VALUE!</v>
      </c>
      <c r="L3" t="e">
        <f>'Normal gait variables'!M22</f>
        <v>#VALUE!</v>
      </c>
      <c r="M3" t="e">
        <f>'Normal gait variables'!N22</f>
        <v>#VALUE!</v>
      </c>
      <c r="N3" t="e">
        <f>'Normal gait variables'!O22</f>
        <v>#VALUE!</v>
      </c>
      <c r="O3" t="e">
        <f>'Normal gait variables'!P22</f>
        <v>#VALUE!</v>
      </c>
      <c r="P3" t="e">
        <f>'Normal gait variables'!Q22</f>
        <v>#VALUE!</v>
      </c>
      <c r="Q3" t="e">
        <f>'Normal gait variables'!R22</f>
        <v>#VALUE!</v>
      </c>
      <c r="R3" t="e">
        <f>'Normal gait variables'!S22</f>
        <v>#VALUE!</v>
      </c>
      <c r="S3" t="e">
        <f>'Normal gait variables'!T22</f>
        <v>#VALUE!</v>
      </c>
      <c r="T3" t="e">
        <f>'Normal gait variables'!U22</f>
        <v>#VALUE!</v>
      </c>
      <c r="U3" t="e">
        <f>'Normal gait variables'!V22</f>
        <v>#VALUE!</v>
      </c>
      <c r="V3" t="e">
        <f>'Normal gait variables'!W22</f>
        <v>#VALUE!</v>
      </c>
      <c r="W3" t="e">
        <f>'Normal gait variables'!X22</f>
        <v>#VALUE!</v>
      </c>
      <c r="X3" t="e">
        <f>'Normal gait variables'!Y22</f>
        <v>#VALUE!</v>
      </c>
      <c r="Y3" t="e">
        <f>'Normal gait variables'!Z22</f>
        <v>#VALUE!</v>
      </c>
      <c r="Z3" t="e">
        <f>'Normal gait variables'!AA22</f>
        <v>#VALUE!</v>
      </c>
      <c r="AA3" t="e">
        <f>'Normal gait variables'!AB22</f>
        <v>#VALUE!</v>
      </c>
      <c r="AB3" t="e">
        <f>'Normal gait variables'!AC22</f>
        <v>#VALUE!</v>
      </c>
      <c r="AC3" t="e">
        <f>'Normal gait variables'!AD22</f>
        <v>#VALUE!</v>
      </c>
      <c r="AD3" t="e">
        <f>'Normal gait variables'!AE22</f>
        <v>#VALUE!</v>
      </c>
      <c r="AE3" t="e">
        <f>'Normal gait variables'!AF22</f>
        <v>#VALUE!</v>
      </c>
      <c r="AF3" t="e">
        <f>'Normal gait variables'!AG22</f>
        <v>#VALUE!</v>
      </c>
      <c r="AG3" t="e">
        <f>'Normal gait variables'!AH22</f>
        <v>#VALUE!</v>
      </c>
      <c r="AH3" t="e">
        <f>'Normal gait variables'!AI22</f>
        <v>#VALUE!</v>
      </c>
      <c r="AI3" t="e">
        <f>'Normal gait variables'!AJ22</f>
        <v>#VALUE!</v>
      </c>
      <c r="AJ3" t="e">
        <f>'Normal gait variables'!AK22</f>
        <v>#VALUE!</v>
      </c>
      <c r="AK3" t="e">
        <f>'Normal gait variables'!AL22</f>
        <v>#VALUE!</v>
      </c>
      <c r="AL3" t="e">
        <f>'Normal gait variables'!AM22</f>
        <v>#VALUE!</v>
      </c>
      <c r="AM3" t="e">
        <f>'Normal gait variables'!AN22</f>
        <v>#VALUE!</v>
      </c>
      <c r="AN3" t="e">
        <f>'Normal gait variables'!AO22</f>
        <v>#VALUE!</v>
      </c>
      <c r="AO3" t="e">
        <f>'Normal gait variables'!AP22</f>
        <v>#VALUE!</v>
      </c>
      <c r="AP3" t="e">
        <f>'Normal gait variables'!AQ22</f>
        <v>#VALUE!</v>
      </c>
      <c r="AQ3" t="e">
        <f>'Normal gait variables'!AR22</f>
        <v>#VALUE!</v>
      </c>
      <c r="AR3" t="e">
        <f>'Normal gait variables'!AS22</f>
        <v>#VALUE!</v>
      </c>
      <c r="AS3" t="e">
        <f>'Normal gait variables'!AT22</f>
        <v>#VALUE!</v>
      </c>
      <c r="AT3" t="e">
        <f>'Normal gait variables'!AU22</f>
        <v>#VALUE!</v>
      </c>
      <c r="AU3" t="e">
        <f>'Normal gait variables'!AV22</f>
        <v>#VALUE!</v>
      </c>
      <c r="AV3" t="e">
        <f>'Normal gait variables'!AW22</f>
        <v>#VALUE!</v>
      </c>
      <c r="AW3" t="e">
        <f>'Normal gait variables'!AX22</f>
        <v>#VALUE!</v>
      </c>
      <c r="AX3" t="e">
        <f>'Normal gait variables'!AY22</f>
        <v>#VALUE!</v>
      </c>
      <c r="AY3" t="e">
        <f>'Normal gait variables'!AZ22</f>
        <v>#VALUE!</v>
      </c>
      <c r="AZ3" t="e">
        <f>'Normal gait variables'!BA22</f>
        <v>#VALUE!</v>
      </c>
      <c r="BA3" t="e">
        <f>'Normal gait variables'!BB22</f>
        <v>#VALUE!</v>
      </c>
      <c r="BB3" t="e">
        <f>'Normal gait variables'!BC22</f>
        <v>#VALUE!</v>
      </c>
      <c r="BC3" t="e">
        <f>'Normal gait variables'!BD22</f>
        <v>#VALUE!</v>
      </c>
      <c r="BD3" t="e">
        <f>'Normal gait variables'!BE22</f>
        <v>#VALUE!</v>
      </c>
      <c r="BE3" t="e">
        <f>'Normal gait variables'!BF22</f>
        <v>#VALUE!</v>
      </c>
      <c r="BF3" t="e">
        <f>'Normal gait variables'!BG22</f>
        <v>#VALUE!</v>
      </c>
      <c r="BG3" t="e">
        <f>'Normal gait variables'!BH22</f>
        <v>#VALUE!</v>
      </c>
      <c r="BH3" t="e">
        <f>'Normal gait variables'!BI22</f>
        <v>#VALUE!</v>
      </c>
      <c r="BI3" t="e">
        <f>'Normal gait variables'!BJ22</f>
        <v>#VALUE!</v>
      </c>
      <c r="BJ3" t="e">
        <f>'Normal gait variables'!BK22</f>
        <v>#VALUE!</v>
      </c>
      <c r="BK3" t="e">
        <f>'Normal gait variables'!BL22</f>
        <v>#VALUE!</v>
      </c>
      <c r="BL3" t="e">
        <f>'Normal gait variables'!BM22</f>
        <v>#VALUE!</v>
      </c>
      <c r="BM3" t="e">
        <f>'Normal gait variables'!BN22</f>
        <v>#VALUE!</v>
      </c>
      <c r="BN3" t="e">
        <f>'Normal gait variables'!BO22</f>
        <v>#VALUE!</v>
      </c>
      <c r="BO3" t="e">
        <f>'Normal gait variables'!BP22</f>
        <v>#VALUE!</v>
      </c>
      <c r="BP3" t="e">
        <f>'Normal gait variables'!BQ22</f>
        <v>#VALUE!</v>
      </c>
      <c r="BQ3" t="e">
        <f>'Normal gait variables'!BR22</f>
        <v>#VALUE!</v>
      </c>
      <c r="BR3" t="e">
        <f>'Normal gait variables'!BS22</f>
        <v>#VALUE!</v>
      </c>
      <c r="BS3" t="e">
        <f>'Normal gait variables'!BT22</f>
        <v>#VALUE!</v>
      </c>
      <c r="BT3" t="e">
        <f>'Normal gait variables'!BU22</f>
        <v>#VALUE!</v>
      </c>
      <c r="BU3" t="e">
        <f>'Normal gait variables'!BV22</f>
        <v>#VALUE!</v>
      </c>
      <c r="BV3" t="e">
        <f>'Normal gait variables'!BW22</f>
        <v>#VALUE!</v>
      </c>
      <c r="BW3" t="e">
        <f>'Normal gait variables'!BX22</f>
        <v>#VALUE!</v>
      </c>
      <c r="BX3" t="e">
        <f>'Normal gait variables'!BY22</f>
        <v>#VALUE!</v>
      </c>
      <c r="BY3" t="e">
        <f>'Normal gait variables'!BZ22</f>
        <v>#VALUE!</v>
      </c>
      <c r="BZ3" t="e">
        <f>'Normal gait variables'!CA22</f>
        <v>#VALUE!</v>
      </c>
      <c r="CA3" t="e">
        <f>'Normal gait variables'!CB22</f>
        <v>#VALUE!</v>
      </c>
      <c r="CB3" t="e">
        <f>'Normal gait variables'!CC22</f>
        <v>#VALUE!</v>
      </c>
      <c r="CC3" t="e">
        <f>'Normal gait variables'!CD22</f>
        <v>#VALUE!</v>
      </c>
      <c r="CD3" t="e">
        <f>'Normal gait variables'!CE22</f>
        <v>#VALUE!</v>
      </c>
      <c r="CE3" t="e">
        <f>'Normal gait variables'!CF22</f>
        <v>#VALUE!</v>
      </c>
      <c r="CF3" t="e">
        <f>'Normal gait variables'!CG22</f>
        <v>#VALUE!</v>
      </c>
      <c r="CG3" t="e">
        <f>'Normal gait variables'!CH22</f>
        <v>#VALUE!</v>
      </c>
      <c r="CH3" t="e">
        <f>'Normal gait variables'!CI22</f>
        <v>#VALUE!</v>
      </c>
      <c r="CI3" t="e">
        <f>'Normal gait variables'!CJ22</f>
        <v>#VALUE!</v>
      </c>
      <c r="CJ3" t="e">
        <f>'Normal gait variables'!CK22</f>
        <v>#VALUE!</v>
      </c>
      <c r="CK3" t="e">
        <f>'Normal gait variables'!CL22</f>
        <v>#VALUE!</v>
      </c>
      <c r="CL3" t="e">
        <f>'Normal gait variables'!CM22</f>
        <v>#VALUE!</v>
      </c>
      <c r="CM3" t="e">
        <f>'Normal gait variables'!CN22</f>
        <v>#VALUE!</v>
      </c>
      <c r="CN3" t="e">
        <f>'Normal gait variables'!CO22</f>
        <v>#VALUE!</v>
      </c>
      <c r="CO3" t="e">
        <f>'Normal gait variables'!CP22</f>
        <v>#VALUE!</v>
      </c>
      <c r="CP3" t="e">
        <f>'Normal gait variables'!CQ22</f>
        <v>#VALUE!</v>
      </c>
      <c r="CQ3" t="e">
        <f>'Normal gait variables'!CR22</f>
        <v>#VALUE!</v>
      </c>
      <c r="CR3" t="e">
        <f>'Normal gait variables'!CS22</f>
        <v>#VALUE!</v>
      </c>
      <c r="CS3" t="e">
        <f>'Normal gait variables'!CT22</f>
        <v>#VALUE!</v>
      </c>
      <c r="CT3" t="e">
        <f>'Normal gait variables'!CU22</f>
        <v>#VALUE!</v>
      </c>
      <c r="CU3" t="e">
        <f>'Normal gait variables'!CV22</f>
        <v>#VALUE!</v>
      </c>
      <c r="CV3" t="e">
        <f>'Normal gait variables'!CW22</f>
        <v>#VALUE!</v>
      </c>
      <c r="CW3" t="e">
        <f>'Normal gait variables'!CX22</f>
        <v>#VALUE!</v>
      </c>
      <c r="CX3" t="e">
        <f>'Normal gait variables'!CY22</f>
        <v>#VALUE!</v>
      </c>
      <c r="CY3" t="e">
        <f>'Normal gait variables'!CZ22</f>
        <v>#VALUE!</v>
      </c>
      <c r="CZ3" t="e">
        <f>'Normal gait variables'!DA22</f>
        <v>#VALUE!</v>
      </c>
      <c r="DA3" t="e">
        <f>'Normal gait variables'!DB22</f>
        <v>#VALUE!</v>
      </c>
    </row>
    <row r="4" spans="1:107" x14ac:dyDescent="0.25">
      <c r="A4" t="s">
        <v>0</v>
      </c>
      <c r="B4" t="s">
        <v>5</v>
      </c>
      <c r="C4">
        <v>20</v>
      </c>
      <c r="D4" s="3" t="s">
        <v>2</v>
      </c>
      <c r="E4" t="e">
        <f>'Normal gait variables'!F23</f>
        <v>#VALUE!</v>
      </c>
      <c r="F4" t="e">
        <f>'Normal gait variables'!G23</f>
        <v>#VALUE!</v>
      </c>
      <c r="G4" t="e">
        <f>'Normal gait variables'!H23</f>
        <v>#VALUE!</v>
      </c>
      <c r="H4" t="e">
        <f>'Normal gait variables'!I23</f>
        <v>#VALUE!</v>
      </c>
      <c r="I4" t="e">
        <f>'Normal gait variables'!J23</f>
        <v>#VALUE!</v>
      </c>
      <c r="J4" t="e">
        <f>'Normal gait variables'!K23</f>
        <v>#VALUE!</v>
      </c>
      <c r="K4" t="e">
        <f>'Normal gait variables'!L23</f>
        <v>#VALUE!</v>
      </c>
      <c r="L4" t="e">
        <f>'Normal gait variables'!M23</f>
        <v>#VALUE!</v>
      </c>
      <c r="M4" t="e">
        <f>'Normal gait variables'!N23</f>
        <v>#VALUE!</v>
      </c>
      <c r="N4" t="e">
        <f>'Normal gait variables'!O23</f>
        <v>#VALUE!</v>
      </c>
      <c r="O4" t="e">
        <f>'Normal gait variables'!P23</f>
        <v>#VALUE!</v>
      </c>
      <c r="P4" t="e">
        <f>'Normal gait variables'!Q23</f>
        <v>#VALUE!</v>
      </c>
      <c r="Q4" t="e">
        <f>'Normal gait variables'!R23</f>
        <v>#VALUE!</v>
      </c>
      <c r="R4" t="e">
        <f>'Normal gait variables'!S23</f>
        <v>#VALUE!</v>
      </c>
      <c r="S4" t="e">
        <f>'Normal gait variables'!T23</f>
        <v>#VALUE!</v>
      </c>
      <c r="T4" t="e">
        <f>'Normal gait variables'!U23</f>
        <v>#VALUE!</v>
      </c>
      <c r="U4" t="e">
        <f>'Normal gait variables'!V23</f>
        <v>#VALUE!</v>
      </c>
      <c r="V4" t="e">
        <f>'Normal gait variables'!W23</f>
        <v>#VALUE!</v>
      </c>
      <c r="W4" t="e">
        <f>'Normal gait variables'!X23</f>
        <v>#VALUE!</v>
      </c>
      <c r="X4" t="e">
        <f>'Normal gait variables'!Y23</f>
        <v>#VALUE!</v>
      </c>
      <c r="Y4" t="e">
        <f>'Normal gait variables'!Z23</f>
        <v>#VALUE!</v>
      </c>
      <c r="Z4" t="e">
        <f>'Normal gait variables'!AA23</f>
        <v>#VALUE!</v>
      </c>
      <c r="AA4" t="e">
        <f>'Normal gait variables'!AB23</f>
        <v>#VALUE!</v>
      </c>
      <c r="AB4" t="e">
        <f>'Normal gait variables'!AC23</f>
        <v>#VALUE!</v>
      </c>
      <c r="AC4" t="e">
        <f>'Normal gait variables'!AD23</f>
        <v>#VALUE!</v>
      </c>
      <c r="AD4" t="e">
        <f>'Normal gait variables'!AE23</f>
        <v>#VALUE!</v>
      </c>
      <c r="AE4" t="e">
        <f>'Normal gait variables'!AF23</f>
        <v>#VALUE!</v>
      </c>
      <c r="AF4" t="e">
        <f>'Normal gait variables'!AG23</f>
        <v>#VALUE!</v>
      </c>
      <c r="AG4" t="e">
        <f>'Normal gait variables'!AH23</f>
        <v>#VALUE!</v>
      </c>
      <c r="AH4" t="e">
        <f>'Normal gait variables'!AI23</f>
        <v>#VALUE!</v>
      </c>
      <c r="AI4" t="e">
        <f>'Normal gait variables'!AJ23</f>
        <v>#VALUE!</v>
      </c>
      <c r="AJ4" t="e">
        <f>'Normal gait variables'!AK23</f>
        <v>#VALUE!</v>
      </c>
      <c r="AK4" t="e">
        <f>'Normal gait variables'!AL23</f>
        <v>#VALUE!</v>
      </c>
      <c r="AL4" t="e">
        <f>'Normal gait variables'!AM23</f>
        <v>#VALUE!</v>
      </c>
      <c r="AM4" t="e">
        <f>'Normal gait variables'!AN23</f>
        <v>#VALUE!</v>
      </c>
      <c r="AN4" t="e">
        <f>'Normal gait variables'!AO23</f>
        <v>#VALUE!</v>
      </c>
      <c r="AO4" t="e">
        <f>'Normal gait variables'!AP23</f>
        <v>#VALUE!</v>
      </c>
      <c r="AP4" t="e">
        <f>'Normal gait variables'!AQ23</f>
        <v>#VALUE!</v>
      </c>
      <c r="AQ4" t="e">
        <f>'Normal gait variables'!AR23</f>
        <v>#VALUE!</v>
      </c>
      <c r="AR4" t="e">
        <f>'Normal gait variables'!AS23</f>
        <v>#VALUE!</v>
      </c>
      <c r="AS4" t="e">
        <f>'Normal gait variables'!AT23</f>
        <v>#VALUE!</v>
      </c>
      <c r="AT4" t="e">
        <f>'Normal gait variables'!AU23</f>
        <v>#VALUE!</v>
      </c>
      <c r="AU4" t="e">
        <f>'Normal gait variables'!AV23</f>
        <v>#VALUE!</v>
      </c>
      <c r="AV4" t="e">
        <f>'Normal gait variables'!AW23</f>
        <v>#VALUE!</v>
      </c>
      <c r="AW4" t="e">
        <f>'Normal gait variables'!AX23</f>
        <v>#VALUE!</v>
      </c>
      <c r="AX4" t="e">
        <f>'Normal gait variables'!AY23</f>
        <v>#VALUE!</v>
      </c>
      <c r="AY4" t="e">
        <f>'Normal gait variables'!AZ23</f>
        <v>#VALUE!</v>
      </c>
      <c r="AZ4" t="e">
        <f>'Normal gait variables'!BA23</f>
        <v>#VALUE!</v>
      </c>
      <c r="BA4" t="e">
        <f>'Normal gait variables'!BB23</f>
        <v>#VALUE!</v>
      </c>
      <c r="BB4" t="e">
        <f>'Normal gait variables'!BC23</f>
        <v>#VALUE!</v>
      </c>
      <c r="BC4" t="e">
        <f>'Normal gait variables'!BD23</f>
        <v>#VALUE!</v>
      </c>
      <c r="BD4" t="e">
        <f>'Normal gait variables'!BE23</f>
        <v>#VALUE!</v>
      </c>
      <c r="BE4" t="e">
        <f>'Normal gait variables'!BF23</f>
        <v>#VALUE!</v>
      </c>
      <c r="BF4" t="e">
        <f>'Normal gait variables'!BG23</f>
        <v>#VALUE!</v>
      </c>
      <c r="BG4" t="e">
        <f>'Normal gait variables'!BH23</f>
        <v>#VALUE!</v>
      </c>
      <c r="BH4" t="e">
        <f>'Normal gait variables'!BI23</f>
        <v>#VALUE!</v>
      </c>
      <c r="BI4" t="e">
        <f>'Normal gait variables'!BJ23</f>
        <v>#VALUE!</v>
      </c>
      <c r="BJ4" t="e">
        <f>'Normal gait variables'!BK23</f>
        <v>#VALUE!</v>
      </c>
      <c r="BK4" t="e">
        <f>'Normal gait variables'!BL23</f>
        <v>#VALUE!</v>
      </c>
      <c r="BL4" t="e">
        <f>'Normal gait variables'!BM23</f>
        <v>#VALUE!</v>
      </c>
      <c r="BM4" t="e">
        <f>'Normal gait variables'!BN23</f>
        <v>#VALUE!</v>
      </c>
      <c r="BN4" t="e">
        <f>'Normal gait variables'!BO23</f>
        <v>#VALUE!</v>
      </c>
      <c r="BO4" t="e">
        <f>'Normal gait variables'!BP23</f>
        <v>#VALUE!</v>
      </c>
      <c r="BP4" t="e">
        <f>'Normal gait variables'!BQ23</f>
        <v>#VALUE!</v>
      </c>
      <c r="BQ4" t="e">
        <f>'Normal gait variables'!BR23</f>
        <v>#VALUE!</v>
      </c>
      <c r="BR4" t="e">
        <f>'Normal gait variables'!BS23</f>
        <v>#VALUE!</v>
      </c>
      <c r="BS4" t="e">
        <f>'Normal gait variables'!BT23</f>
        <v>#VALUE!</v>
      </c>
      <c r="BT4" t="e">
        <f>'Normal gait variables'!BU23</f>
        <v>#VALUE!</v>
      </c>
      <c r="BU4" t="e">
        <f>'Normal gait variables'!BV23</f>
        <v>#VALUE!</v>
      </c>
      <c r="BV4" t="e">
        <f>'Normal gait variables'!BW23</f>
        <v>#VALUE!</v>
      </c>
      <c r="BW4" t="e">
        <f>'Normal gait variables'!BX23</f>
        <v>#VALUE!</v>
      </c>
      <c r="BX4" t="e">
        <f>'Normal gait variables'!BY23</f>
        <v>#VALUE!</v>
      </c>
      <c r="BY4" t="e">
        <f>'Normal gait variables'!BZ23</f>
        <v>#VALUE!</v>
      </c>
      <c r="BZ4" t="e">
        <f>'Normal gait variables'!CA23</f>
        <v>#VALUE!</v>
      </c>
      <c r="CA4" t="e">
        <f>'Normal gait variables'!CB23</f>
        <v>#VALUE!</v>
      </c>
      <c r="CB4" t="e">
        <f>'Normal gait variables'!CC23</f>
        <v>#VALUE!</v>
      </c>
      <c r="CC4" t="e">
        <f>'Normal gait variables'!CD23</f>
        <v>#VALUE!</v>
      </c>
      <c r="CD4" t="e">
        <f>'Normal gait variables'!CE23</f>
        <v>#VALUE!</v>
      </c>
      <c r="CE4" t="e">
        <f>'Normal gait variables'!CF23</f>
        <v>#VALUE!</v>
      </c>
      <c r="CF4" t="e">
        <f>'Normal gait variables'!CG23</f>
        <v>#VALUE!</v>
      </c>
      <c r="CG4" t="e">
        <f>'Normal gait variables'!CH23</f>
        <v>#VALUE!</v>
      </c>
      <c r="CH4" t="e">
        <f>'Normal gait variables'!CI23</f>
        <v>#VALUE!</v>
      </c>
      <c r="CI4" t="e">
        <f>'Normal gait variables'!CJ23</f>
        <v>#VALUE!</v>
      </c>
      <c r="CJ4" t="e">
        <f>'Normal gait variables'!CK23</f>
        <v>#VALUE!</v>
      </c>
      <c r="CK4" t="e">
        <f>'Normal gait variables'!CL23</f>
        <v>#VALUE!</v>
      </c>
      <c r="CL4" t="e">
        <f>'Normal gait variables'!CM23</f>
        <v>#VALUE!</v>
      </c>
      <c r="CM4" t="e">
        <f>'Normal gait variables'!CN23</f>
        <v>#VALUE!</v>
      </c>
      <c r="CN4" t="e">
        <f>'Normal gait variables'!CO23</f>
        <v>#VALUE!</v>
      </c>
      <c r="CO4" t="e">
        <f>'Normal gait variables'!CP23</f>
        <v>#VALUE!</v>
      </c>
      <c r="CP4" t="e">
        <f>'Normal gait variables'!CQ23</f>
        <v>#VALUE!</v>
      </c>
      <c r="CQ4" t="e">
        <f>'Normal gait variables'!CR23</f>
        <v>#VALUE!</v>
      </c>
      <c r="CR4" t="e">
        <f>'Normal gait variables'!CS23</f>
        <v>#VALUE!</v>
      </c>
      <c r="CS4" t="e">
        <f>'Normal gait variables'!CT23</f>
        <v>#VALUE!</v>
      </c>
      <c r="CT4" t="e">
        <f>'Normal gait variables'!CU23</f>
        <v>#VALUE!</v>
      </c>
      <c r="CU4" t="e">
        <f>'Normal gait variables'!CV23</f>
        <v>#VALUE!</v>
      </c>
      <c r="CV4" t="e">
        <f>'Normal gait variables'!CW23</f>
        <v>#VALUE!</v>
      </c>
      <c r="CW4" t="e">
        <f>'Normal gait variables'!CX23</f>
        <v>#VALUE!</v>
      </c>
      <c r="CX4" t="e">
        <f>'Normal gait variables'!CY23</f>
        <v>#VALUE!</v>
      </c>
      <c r="CY4" t="e">
        <f>'Normal gait variables'!CZ23</f>
        <v>#VALUE!</v>
      </c>
      <c r="CZ4" t="e">
        <f>'Normal gait variables'!DA23</f>
        <v>#VALUE!</v>
      </c>
      <c r="DA4" t="e">
        <f>'Normal gait variables'!DB23</f>
        <v>#VALUE!</v>
      </c>
    </row>
    <row r="5" spans="1:107" x14ac:dyDescent="0.25">
      <c r="A5" t="s">
        <v>0</v>
      </c>
      <c r="B5" t="s">
        <v>1</v>
      </c>
      <c r="C5">
        <v>20</v>
      </c>
      <c r="D5" s="3" t="s">
        <v>2</v>
      </c>
      <c r="E5" t="e">
        <f>'Normal gait variables'!F24</f>
        <v>#VALUE!</v>
      </c>
      <c r="F5" t="e">
        <f>'Normal gait variables'!G24</f>
        <v>#VALUE!</v>
      </c>
      <c r="G5" t="e">
        <f>'Normal gait variables'!H24</f>
        <v>#VALUE!</v>
      </c>
      <c r="H5" t="e">
        <f>'Normal gait variables'!I24</f>
        <v>#VALUE!</v>
      </c>
      <c r="I5" t="e">
        <f>'Normal gait variables'!J24</f>
        <v>#VALUE!</v>
      </c>
      <c r="J5" t="e">
        <f>'Normal gait variables'!K24</f>
        <v>#VALUE!</v>
      </c>
      <c r="K5" t="e">
        <f>'Normal gait variables'!L24</f>
        <v>#VALUE!</v>
      </c>
      <c r="L5" t="e">
        <f>'Normal gait variables'!M24</f>
        <v>#VALUE!</v>
      </c>
      <c r="M5" t="e">
        <f>'Normal gait variables'!N24</f>
        <v>#VALUE!</v>
      </c>
      <c r="N5" t="e">
        <f>'Normal gait variables'!O24</f>
        <v>#VALUE!</v>
      </c>
      <c r="O5" t="e">
        <f>'Normal gait variables'!P24</f>
        <v>#VALUE!</v>
      </c>
      <c r="P5" t="e">
        <f>'Normal gait variables'!Q24</f>
        <v>#VALUE!</v>
      </c>
      <c r="Q5" t="e">
        <f>'Normal gait variables'!R24</f>
        <v>#VALUE!</v>
      </c>
      <c r="R5" t="e">
        <f>'Normal gait variables'!S24</f>
        <v>#VALUE!</v>
      </c>
      <c r="S5" t="e">
        <f>'Normal gait variables'!T24</f>
        <v>#VALUE!</v>
      </c>
      <c r="T5" t="e">
        <f>'Normal gait variables'!U24</f>
        <v>#VALUE!</v>
      </c>
      <c r="U5" t="e">
        <f>'Normal gait variables'!V24</f>
        <v>#VALUE!</v>
      </c>
      <c r="V5" t="e">
        <f>'Normal gait variables'!W24</f>
        <v>#VALUE!</v>
      </c>
      <c r="W5" t="e">
        <f>'Normal gait variables'!X24</f>
        <v>#VALUE!</v>
      </c>
      <c r="X5" t="e">
        <f>'Normal gait variables'!Y24</f>
        <v>#VALUE!</v>
      </c>
      <c r="Y5" t="e">
        <f>'Normal gait variables'!Z24</f>
        <v>#VALUE!</v>
      </c>
      <c r="Z5" t="e">
        <f>'Normal gait variables'!AA24</f>
        <v>#VALUE!</v>
      </c>
      <c r="AA5" t="e">
        <f>'Normal gait variables'!AB24</f>
        <v>#VALUE!</v>
      </c>
      <c r="AB5" t="e">
        <f>'Normal gait variables'!AC24</f>
        <v>#VALUE!</v>
      </c>
      <c r="AC5" t="e">
        <f>'Normal gait variables'!AD24</f>
        <v>#VALUE!</v>
      </c>
      <c r="AD5" t="e">
        <f>'Normal gait variables'!AE24</f>
        <v>#VALUE!</v>
      </c>
      <c r="AE5" t="e">
        <f>'Normal gait variables'!AF24</f>
        <v>#VALUE!</v>
      </c>
      <c r="AF5" t="e">
        <f>'Normal gait variables'!AG24</f>
        <v>#VALUE!</v>
      </c>
      <c r="AG5" t="e">
        <f>'Normal gait variables'!AH24</f>
        <v>#VALUE!</v>
      </c>
      <c r="AH5" t="e">
        <f>'Normal gait variables'!AI24</f>
        <v>#VALUE!</v>
      </c>
      <c r="AI5" t="e">
        <f>'Normal gait variables'!AJ24</f>
        <v>#VALUE!</v>
      </c>
      <c r="AJ5" t="e">
        <f>'Normal gait variables'!AK24</f>
        <v>#VALUE!</v>
      </c>
      <c r="AK5" t="e">
        <f>'Normal gait variables'!AL24</f>
        <v>#VALUE!</v>
      </c>
      <c r="AL5" t="e">
        <f>'Normal gait variables'!AM24</f>
        <v>#VALUE!</v>
      </c>
      <c r="AM5" t="e">
        <f>'Normal gait variables'!AN24</f>
        <v>#VALUE!</v>
      </c>
      <c r="AN5" t="e">
        <f>'Normal gait variables'!AO24</f>
        <v>#VALUE!</v>
      </c>
      <c r="AO5" t="e">
        <f>'Normal gait variables'!AP24</f>
        <v>#VALUE!</v>
      </c>
      <c r="AP5" t="e">
        <f>'Normal gait variables'!AQ24</f>
        <v>#VALUE!</v>
      </c>
      <c r="AQ5" t="e">
        <f>'Normal gait variables'!AR24</f>
        <v>#VALUE!</v>
      </c>
      <c r="AR5" t="e">
        <f>'Normal gait variables'!AS24</f>
        <v>#VALUE!</v>
      </c>
      <c r="AS5" t="e">
        <f>'Normal gait variables'!AT24</f>
        <v>#VALUE!</v>
      </c>
      <c r="AT5" t="e">
        <f>'Normal gait variables'!AU24</f>
        <v>#VALUE!</v>
      </c>
      <c r="AU5" t="e">
        <f>'Normal gait variables'!AV24</f>
        <v>#VALUE!</v>
      </c>
      <c r="AV5" t="e">
        <f>'Normal gait variables'!AW24</f>
        <v>#VALUE!</v>
      </c>
      <c r="AW5" t="e">
        <f>'Normal gait variables'!AX24</f>
        <v>#VALUE!</v>
      </c>
      <c r="AX5" t="e">
        <f>'Normal gait variables'!AY24</f>
        <v>#VALUE!</v>
      </c>
      <c r="AY5" t="e">
        <f>'Normal gait variables'!AZ24</f>
        <v>#VALUE!</v>
      </c>
      <c r="AZ5" t="e">
        <f>'Normal gait variables'!BA24</f>
        <v>#VALUE!</v>
      </c>
      <c r="BA5" t="e">
        <f>'Normal gait variables'!BB24</f>
        <v>#VALUE!</v>
      </c>
      <c r="BB5" t="e">
        <f>'Normal gait variables'!BC24</f>
        <v>#VALUE!</v>
      </c>
      <c r="BC5" t="e">
        <f>'Normal gait variables'!BD24</f>
        <v>#VALUE!</v>
      </c>
      <c r="BD5" t="e">
        <f>'Normal gait variables'!BE24</f>
        <v>#VALUE!</v>
      </c>
      <c r="BE5" t="e">
        <f>'Normal gait variables'!BF24</f>
        <v>#VALUE!</v>
      </c>
      <c r="BF5" t="e">
        <f>'Normal gait variables'!BG24</f>
        <v>#VALUE!</v>
      </c>
      <c r="BG5" t="e">
        <f>'Normal gait variables'!BH24</f>
        <v>#VALUE!</v>
      </c>
      <c r="BH5" t="e">
        <f>'Normal gait variables'!BI24</f>
        <v>#VALUE!</v>
      </c>
      <c r="BI5" t="e">
        <f>'Normal gait variables'!BJ24</f>
        <v>#VALUE!</v>
      </c>
      <c r="BJ5" t="e">
        <f>'Normal gait variables'!BK24</f>
        <v>#VALUE!</v>
      </c>
      <c r="BK5" t="e">
        <f>'Normal gait variables'!BL24</f>
        <v>#VALUE!</v>
      </c>
      <c r="BL5" t="e">
        <f>'Normal gait variables'!BM24</f>
        <v>#VALUE!</v>
      </c>
      <c r="BM5" t="e">
        <f>'Normal gait variables'!BN24</f>
        <v>#VALUE!</v>
      </c>
      <c r="BN5" t="e">
        <f>'Normal gait variables'!BO24</f>
        <v>#VALUE!</v>
      </c>
      <c r="BO5" t="e">
        <f>'Normal gait variables'!BP24</f>
        <v>#VALUE!</v>
      </c>
      <c r="BP5" t="e">
        <f>'Normal gait variables'!BQ24</f>
        <v>#VALUE!</v>
      </c>
      <c r="BQ5" t="e">
        <f>'Normal gait variables'!BR24</f>
        <v>#VALUE!</v>
      </c>
      <c r="BR5" t="e">
        <f>'Normal gait variables'!BS24</f>
        <v>#VALUE!</v>
      </c>
      <c r="BS5" t="e">
        <f>'Normal gait variables'!BT24</f>
        <v>#VALUE!</v>
      </c>
      <c r="BT5" t="e">
        <f>'Normal gait variables'!BU24</f>
        <v>#VALUE!</v>
      </c>
      <c r="BU5" t="e">
        <f>'Normal gait variables'!BV24</f>
        <v>#VALUE!</v>
      </c>
      <c r="BV5" t="e">
        <f>'Normal gait variables'!BW24</f>
        <v>#VALUE!</v>
      </c>
      <c r="BW5" t="e">
        <f>'Normal gait variables'!BX24</f>
        <v>#VALUE!</v>
      </c>
      <c r="BX5" t="e">
        <f>'Normal gait variables'!BY24</f>
        <v>#VALUE!</v>
      </c>
      <c r="BY5" t="e">
        <f>'Normal gait variables'!BZ24</f>
        <v>#VALUE!</v>
      </c>
      <c r="BZ5" t="e">
        <f>'Normal gait variables'!CA24</f>
        <v>#VALUE!</v>
      </c>
      <c r="CA5" t="e">
        <f>'Normal gait variables'!CB24</f>
        <v>#VALUE!</v>
      </c>
      <c r="CB5" t="e">
        <f>'Normal gait variables'!CC24</f>
        <v>#VALUE!</v>
      </c>
      <c r="CC5" t="e">
        <f>'Normal gait variables'!CD24</f>
        <v>#VALUE!</v>
      </c>
      <c r="CD5" t="e">
        <f>'Normal gait variables'!CE24</f>
        <v>#VALUE!</v>
      </c>
      <c r="CE5" t="e">
        <f>'Normal gait variables'!CF24</f>
        <v>#VALUE!</v>
      </c>
      <c r="CF5" t="e">
        <f>'Normal gait variables'!CG24</f>
        <v>#VALUE!</v>
      </c>
      <c r="CG5" t="e">
        <f>'Normal gait variables'!CH24</f>
        <v>#VALUE!</v>
      </c>
      <c r="CH5" t="e">
        <f>'Normal gait variables'!CI24</f>
        <v>#VALUE!</v>
      </c>
      <c r="CI5" t="e">
        <f>'Normal gait variables'!CJ24</f>
        <v>#VALUE!</v>
      </c>
      <c r="CJ5" t="e">
        <f>'Normal gait variables'!CK24</f>
        <v>#VALUE!</v>
      </c>
      <c r="CK5" t="e">
        <f>'Normal gait variables'!CL24</f>
        <v>#VALUE!</v>
      </c>
      <c r="CL5" t="e">
        <f>'Normal gait variables'!CM24</f>
        <v>#VALUE!</v>
      </c>
      <c r="CM5" t="e">
        <f>'Normal gait variables'!CN24</f>
        <v>#VALUE!</v>
      </c>
      <c r="CN5" t="e">
        <f>'Normal gait variables'!CO24</f>
        <v>#VALUE!</v>
      </c>
      <c r="CO5" t="e">
        <f>'Normal gait variables'!CP24</f>
        <v>#VALUE!</v>
      </c>
      <c r="CP5" t="e">
        <f>'Normal gait variables'!CQ24</f>
        <v>#VALUE!</v>
      </c>
      <c r="CQ5" t="e">
        <f>'Normal gait variables'!CR24</f>
        <v>#VALUE!</v>
      </c>
      <c r="CR5" t="e">
        <f>'Normal gait variables'!CS24</f>
        <v>#VALUE!</v>
      </c>
      <c r="CS5" t="e">
        <f>'Normal gait variables'!CT24</f>
        <v>#VALUE!</v>
      </c>
      <c r="CT5" t="e">
        <f>'Normal gait variables'!CU24</f>
        <v>#VALUE!</v>
      </c>
      <c r="CU5" t="e">
        <f>'Normal gait variables'!CV24</f>
        <v>#VALUE!</v>
      </c>
      <c r="CV5" t="e">
        <f>'Normal gait variables'!CW24</f>
        <v>#VALUE!</v>
      </c>
      <c r="CW5" t="e">
        <f>'Normal gait variables'!CX24</f>
        <v>#VALUE!</v>
      </c>
      <c r="CX5" t="e">
        <f>'Normal gait variables'!CY24</f>
        <v>#VALUE!</v>
      </c>
      <c r="CY5" t="e">
        <f>'Normal gait variables'!CZ24</f>
        <v>#VALUE!</v>
      </c>
      <c r="CZ5" t="e">
        <f>'Normal gait variables'!DA24</f>
        <v>#VALUE!</v>
      </c>
      <c r="DA5" t="e">
        <f>'Normal gait variables'!DB24</f>
        <v>#VALUE!</v>
      </c>
    </row>
    <row r="6" spans="1:107" x14ac:dyDescent="0.25">
      <c r="A6" t="s">
        <v>0</v>
      </c>
      <c r="B6" t="s">
        <v>3</v>
      </c>
      <c r="C6">
        <v>20</v>
      </c>
      <c r="D6" s="3" t="s">
        <v>2</v>
      </c>
      <c r="E6" t="e">
        <f>'Normal gait variables'!F25</f>
        <v>#VALUE!</v>
      </c>
      <c r="F6" t="e">
        <f>'Normal gait variables'!G25</f>
        <v>#VALUE!</v>
      </c>
      <c r="G6" t="e">
        <f>'Normal gait variables'!H25</f>
        <v>#VALUE!</v>
      </c>
      <c r="H6" t="e">
        <f>'Normal gait variables'!I25</f>
        <v>#VALUE!</v>
      </c>
      <c r="I6" t="e">
        <f>'Normal gait variables'!J25</f>
        <v>#VALUE!</v>
      </c>
      <c r="J6" t="e">
        <f>'Normal gait variables'!K25</f>
        <v>#VALUE!</v>
      </c>
      <c r="K6" t="e">
        <f>'Normal gait variables'!L25</f>
        <v>#VALUE!</v>
      </c>
      <c r="L6" t="e">
        <f>'Normal gait variables'!M25</f>
        <v>#VALUE!</v>
      </c>
      <c r="M6" t="e">
        <f>'Normal gait variables'!N25</f>
        <v>#VALUE!</v>
      </c>
      <c r="N6" t="e">
        <f>'Normal gait variables'!O25</f>
        <v>#VALUE!</v>
      </c>
      <c r="O6" t="e">
        <f>'Normal gait variables'!P25</f>
        <v>#VALUE!</v>
      </c>
      <c r="P6" t="e">
        <f>'Normal gait variables'!Q25</f>
        <v>#VALUE!</v>
      </c>
      <c r="Q6" t="e">
        <f>'Normal gait variables'!R25</f>
        <v>#VALUE!</v>
      </c>
      <c r="R6" t="e">
        <f>'Normal gait variables'!S25</f>
        <v>#VALUE!</v>
      </c>
      <c r="S6" t="e">
        <f>'Normal gait variables'!T25</f>
        <v>#VALUE!</v>
      </c>
      <c r="T6" t="e">
        <f>'Normal gait variables'!U25</f>
        <v>#VALUE!</v>
      </c>
      <c r="U6" t="e">
        <f>'Normal gait variables'!V25</f>
        <v>#VALUE!</v>
      </c>
      <c r="V6" t="e">
        <f>'Normal gait variables'!W25</f>
        <v>#VALUE!</v>
      </c>
      <c r="W6" t="e">
        <f>'Normal gait variables'!X25</f>
        <v>#VALUE!</v>
      </c>
      <c r="X6" t="e">
        <f>'Normal gait variables'!Y25</f>
        <v>#VALUE!</v>
      </c>
      <c r="Y6" t="e">
        <f>'Normal gait variables'!Z25</f>
        <v>#VALUE!</v>
      </c>
      <c r="Z6" t="e">
        <f>'Normal gait variables'!AA25</f>
        <v>#VALUE!</v>
      </c>
      <c r="AA6" t="e">
        <f>'Normal gait variables'!AB25</f>
        <v>#VALUE!</v>
      </c>
      <c r="AB6" t="e">
        <f>'Normal gait variables'!AC25</f>
        <v>#VALUE!</v>
      </c>
      <c r="AC6" t="e">
        <f>'Normal gait variables'!AD25</f>
        <v>#VALUE!</v>
      </c>
      <c r="AD6" t="e">
        <f>'Normal gait variables'!AE25</f>
        <v>#VALUE!</v>
      </c>
      <c r="AE6" t="e">
        <f>'Normal gait variables'!AF25</f>
        <v>#VALUE!</v>
      </c>
      <c r="AF6" t="e">
        <f>'Normal gait variables'!AG25</f>
        <v>#VALUE!</v>
      </c>
      <c r="AG6" t="e">
        <f>'Normal gait variables'!AH25</f>
        <v>#VALUE!</v>
      </c>
      <c r="AH6" t="e">
        <f>'Normal gait variables'!AI25</f>
        <v>#VALUE!</v>
      </c>
      <c r="AI6" t="e">
        <f>'Normal gait variables'!AJ25</f>
        <v>#VALUE!</v>
      </c>
      <c r="AJ6" t="e">
        <f>'Normal gait variables'!AK25</f>
        <v>#VALUE!</v>
      </c>
      <c r="AK6" t="e">
        <f>'Normal gait variables'!AL25</f>
        <v>#VALUE!</v>
      </c>
      <c r="AL6" t="e">
        <f>'Normal gait variables'!AM25</f>
        <v>#VALUE!</v>
      </c>
      <c r="AM6" t="e">
        <f>'Normal gait variables'!AN25</f>
        <v>#VALUE!</v>
      </c>
      <c r="AN6" t="e">
        <f>'Normal gait variables'!AO25</f>
        <v>#VALUE!</v>
      </c>
      <c r="AO6" t="e">
        <f>'Normal gait variables'!AP25</f>
        <v>#VALUE!</v>
      </c>
      <c r="AP6" t="e">
        <f>'Normal gait variables'!AQ25</f>
        <v>#VALUE!</v>
      </c>
      <c r="AQ6" t="e">
        <f>'Normal gait variables'!AR25</f>
        <v>#VALUE!</v>
      </c>
      <c r="AR6" t="e">
        <f>'Normal gait variables'!AS25</f>
        <v>#VALUE!</v>
      </c>
      <c r="AS6" t="e">
        <f>'Normal gait variables'!AT25</f>
        <v>#VALUE!</v>
      </c>
      <c r="AT6" t="e">
        <f>'Normal gait variables'!AU25</f>
        <v>#VALUE!</v>
      </c>
      <c r="AU6" t="e">
        <f>'Normal gait variables'!AV25</f>
        <v>#VALUE!</v>
      </c>
      <c r="AV6" t="e">
        <f>'Normal gait variables'!AW25</f>
        <v>#VALUE!</v>
      </c>
      <c r="AW6" t="e">
        <f>'Normal gait variables'!AX25</f>
        <v>#VALUE!</v>
      </c>
      <c r="AX6" t="e">
        <f>'Normal gait variables'!AY25</f>
        <v>#VALUE!</v>
      </c>
      <c r="AY6" t="e">
        <f>'Normal gait variables'!AZ25</f>
        <v>#VALUE!</v>
      </c>
      <c r="AZ6" t="e">
        <f>'Normal gait variables'!BA25</f>
        <v>#VALUE!</v>
      </c>
      <c r="BA6" t="e">
        <f>'Normal gait variables'!BB25</f>
        <v>#VALUE!</v>
      </c>
      <c r="BB6" t="e">
        <f>'Normal gait variables'!BC25</f>
        <v>#VALUE!</v>
      </c>
      <c r="BC6" t="e">
        <f>'Normal gait variables'!BD25</f>
        <v>#VALUE!</v>
      </c>
      <c r="BD6" t="e">
        <f>'Normal gait variables'!BE25</f>
        <v>#VALUE!</v>
      </c>
      <c r="BE6" t="e">
        <f>'Normal gait variables'!BF25</f>
        <v>#VALUE!</v>
      </c>
      <c r="BF6" t="e">
        <f>'Normal gait variables'!BG25</f>
        <v>#VALUE!</v>
      </c>
      <c r="BG6" t="e">
        <f>'Normal gait variables'!BH25</f>
        <v>#VALUE!</v>
      </c>
      <c r="BH6" t="e">
        <f>'Normal gait variables'!BI25</f>
        <v>#VALUE!</v>
      </c>
      <c r="BI6" t="e">
        <f>'Normal gait variables'!BJ25</f>
        <v>#VALUE!</v>
      </c>
      <c r="BJ6" t="e">
        <f>'Normal gait variables'!BK25</f>
        <v>#VALUE!</v>
      </c>
      <c r="BK6" t="e">
        <f>'Normal gait variables'!BL25</f>
        <v>#VALUE!</v>
      </c>
      <c r="BL6" t="e">
        <f>'Normal gait variables'!BM25</f>
        <v>#VALUE!</v>
      </c>
      <c r="BM6" t="e">
        <f>'Normal gait variables'!BN25</f>
        <v>#VALUE!</v>
      </c>
      <c r="BN6" t="e">
        <f>'Normal gait variables'!BO25</f>
        <v>#VALUE!</v>
      </c>
      <c r="BO6" t="e">
        <f>'Normal gait variables'!BP25</f>
        <v>#VALUE!</v>
      </c>
      <c r="BP6" t="e">
        <f>'Normal gait variables'!BQ25</f>
        <v>#VALUE!</v>
      </c>
      <c r="BQ6" t="e">
        <f>'Normal gait variables'!BR25</f>
        <v>#VALUE!</v>
      </c>
      <c r="BR6" t="e">
        <f>'Normal gait variables'!BS25</f>
        <v>#VALUE!</v>
      </c>
      <c r="BS6" t="e">
        <f>'Normal gait variables'!BT25</f>
        <v>#VALUE!</v>
      </c>
      <c r="BT6" t="e">
        <f>'Normal gait variables'!BU25</f>
        <v>#VALUE!</v>
      </c>
      <c r="BU6" t="e">
        <f>'Normal gait variables'!BV25</f>
        <v>#VALUE!</v>
      </c>
      <c r="BV6" t="e">
        <f>'Normal gait variables'!BW25</f>
        <v>#VALUE!</v>
      </c>
      <c r="BW6" t="e">
        <f>'Normal gait variables'!BX25</f>
        <v>#VALUE!</v>
      </c>
      <c r="BX6" t="e">
        <f>'Normal gait variables'!BY25</f>
        <v>#VALUE!</v>
      </c>
      <c r="BY6" t="e">
        <f>'Normal gait variables'!BZ25</f>
        <v>#VALUE!</v>
      </c>
      <c r="BZ6" t="e">
        <f>'Normal gait variables'!CA25</f>
        <v>#VALUE!</v>
      </c>
      <c r="CA6" t="e">
        <f>'Normal gait variables'!CB25</f>
        <v>#VALUE!</v>
      </c>
      <c r="CB6" t="e">
        <f>'Normal gait variables'!CC25</f>
        <v>#VALUE!</v>
      </c>
      <c r="CC6" t="e">
        <f>'Normal gait variables'!CD25</f>
        <v>#VALUE!</v>
      </c>
      <c r="CD6" t="e">
        <f>'Normal gait variables'!CE25</f>
        <v>#VALUE!</v>
      </c>
      <c r="CE6" t="e">
        <f>'Normal gait variables'!CF25</f>
        <v>#VALUE!</v>
      </c>
      <c r="CF6" t="e">
        <f>'Normal gait variables'!CG25</f>
        <v>#VALUE!</v>
      </c>
      <c r="CG6" t="e">
        <f>'Normal gait variables'!CH25</f>
        <v>#VALUE!</v>
      </c>
      <c r="CH6" t="e">
        <f>'Normal gait variables'!CI25</f>
        <v>#VALUE!</v>
      </c>
      <c r="CI6" t="e">
        <f>'Normal gait variables'!CJ25</f>
        <v>#VALUE!</v>
      </c>
      <c r="CJ6" t="e">
        <f>'Normal gait variables'!CK25</f>
        <v>#VALUE!</v>
      </c>
      <c r="CK6" t="e">
        <f>'Normal gait variables'!CL25</f>
        <v>#VALUE!</v>
      </c>
      <c r="CL6" t="e">
        <f>'Normal gait variables'!CM25</f>
        <v>#VALUE!</v>
      </c>
      <c r="CM6" t="e">
        <f>'Normal gait variables'!CN25</f>
        <v>#VALUE!</v>
      </c>
      <c r="CN6" t="e">
        <f>'Normal gait variables'!CO25</f>
        <v>#VALUE!</v>
      </c>
      <c r="CO6" t="e">
        <f>'Normal gait variables'!CP25</f>
        <v>#VALUE!</v>
      </c>
      <c r="CP6" t="e">
        <f>'Normal gait variables'!CQ25</f>
        <v>#VALUE!</v>
      </c>
      <c r="CQ6" t="e">
        <f>'Normal gait variables'!CR25</f>
        <v>#VALUE!</v>
      </c>
      <c r="CR6" t="e">
        <f>'Normal gait variables'!CS25</f>
        <v>#VALUE!</v>
      </c>
      <c r="CS6" t="e">
        <f>'Normal gait variables'!CT25</f>
        <v>#VALUE!</v>
      </c>
      <c r="CT6" t="e">
        <f>'Normal gait variables'!CU25</f>
        <v>#VALUE!</v>
      </c>
      <c r="CU6" t="e">
        <f>'Normal gait variables'!CV25</f>
        <v>#VALUE!</v>
      </c>
      <c r="CV6" t="e">
        <f>'Normal gait variables'!CW25</f>
        <v>#VALUE!</v>
      </c>
      <c r="CW6" t="e">
        <f>'Normal gait variables'!CX25</f>
        <v>#VALUE!</v>
      </c>
      <c r="CX6" t="e">
        <f>'Normal gait variables'!CY25</f>
        <v>#VALUE!</v>
      </c>
      <c r="CY6" t="e">
        <f>'Normal gait variables'!CZ25</f>
        <v>#VALUE!</v>
      </c>
      <c r="CZ6" t="e">
        <f>'Normal gait variables'!DA25</f>
        <v>#VALUE!</v>
      </c>
      <c r="DA6" t="e">
        <f>'Normal gait variables'!DB25</f>
        <v>#VALUE!</v>
      </c>
    </row>
    <row r="7" spans="1:107" x14ac:dyDescent="0.25">
      <c r="A7" t="s">
        <v>0</v>
      </c>
      <c r="B7" t="s">
        <v>4</v>
      </c>
      <c r="C7">
        <v>20</v>
      </c>
      <c r="D7" s="3" t="s">
        <v>2</v>
      </c>
      <c r="E7" t="e">
        <f>'Normal gait variables'!F26</f>
        <v>#VALUE!</v>
      </c>
      <c r="F7" t="e">
        <f>'Normal gait variables'!G26</f>
        <v>#VALUE!</v>
      </c>
      <c r="G7" t="e">
        <f>'Normal gait variables'!H26</f>
        <v>#VALUE!</v>
      </c>
      <c r="H7" t="e">
        <f>'Normal gait variables'!I26</f>
        <v>#VALUE!</v>
      </c>
      <c r="I7" t="e">
        <f>'Normal gait variables'!J26</f>
        <v>#VALUE!</v>
      </c>
      <c r="J7" t="e">
        <f>'Normal gait variables'!K26</f>
        <v>#VALUE!</v>
      </c>
      <c r="K7" t="e">
        <f>'Normal gait variables'!L26</f>
        <v>#VALUE!</v>
      </c>
      <c r="L7" t="e">
        <f>'Normal gait variables'!M26</f>
        <v>#VALUE!</v>
      </c>
      <c r="M7" t="e">
        <f>'Normal gait variables'!N26</f>
        <v>#VALUE!</v>
      </c>
      <c r="N7" t="e">
        <f>'Normal gait variables'!O26</f>
        <v>#VALUE!</v>
      </c>
      <c r="O7" t="e">
        <f>'Normal gait variables'!P26</f>
        <v>#VALUE!</v>
      </c>
      <c r="P7" t="e">
        <f>'Normal gait variables'!Q26</f>
        <v>#VALUE!</v>
      </c>
      <c r="Q7" t="e">
        <f>'Normal gait variables'!R26</f>
        <v>#VALUE!</v>
      </c>
      <c r="R7" t="e">
        <f>'Normal gait variables'!S26</f>
        <v>#VALUE!</v>
      </c>
      <c r="S7" t="e">
        <f>'Normal gait variables'!T26</f>
        <v>#VALUE!</v>
      </c>
      <c r="T7" t="e">
        <f>'Normal gait variables'!U26</f>
        <v>#VALUE!</v>
      </c>
      <c r="U7" t="e">
        <f>'Normal gait variables'!V26</f>
        <v>#VALUE!</v>
      </c>
      <c r="V7" t="e">
        <f>'Normal gait variables'!W26</f>
        <v>#VALUE!</v>
      </c>
      <c r="W7" t="e">
        <f>'Normal gait variables'!X26</f>
        <v>#VALUE!</v>
      </c>
      <c r="X7" t="e">
        <f>'Normal gait variables'!Y26</f>
        <v>#VALUE!</v>
      </c>
      <c r="Y7" t="e">
        <f>'Normal gait variables'!Z26</f>
        <v>#VALUE!</v>
      </c>
      <c r="Z7" t="e">
        <f>'Normal gait variables'!AA26</f>
        <v>#VALUE!</v>
      </c>
      <c r="AA7" t="e">
        <f>'Normal gait variables'!AB26</f>
        <v>#VALUE!</v>
      </c>
      <c r="AB7" t="e">
        <f>'Normal gait variables'!AC26</f>
        <v>#VALUE!</v>
      </c>
      <c r="AC7" t="e">
        <f>'Normal gait variables'!AD26</f>
        <v>#VALUE!</v>
      </c>
      <c r="AD7" t="e">
        <f>'Normal gait variables'!AE26</f>
        <v>#VALUE!</v>
      </c>
      <c r="AE7" t="e">
        <f>'Normal gait variables'!AF26</f>
        <v>#VALUE!</v>
      </c>
      <c r="AF7" t="e">
        <f>'Normal gait variables'!AG26</f>
        <v>#VALUE!</v>
      </c>
      <c r="AG7" t="e">
        <f>'Normal gait variables'!AH26</f>
        <v>#VALUE!</v>
      </c>
      <c r="AH7" t="e">
        <f>'Normal gait variables'!AI26</f>
        <v>#VALUE!</v>
      </c>
      <c r="AI7" t="e">
        <f>'Normal gait variables'!AJ26</f>
        <v>#VALUE!</v>
      </c>
      <c r="AJ7" t="e">
        <f>'Normal gait variables'!AK26</f>
        <v>#VALUE!</v>
      </c>
      <c r="AK7" t="e">
        <f>'Normal gait variables'!AL26</f>
        <v>#VALUE!</v>
      </c>
      <c r="AL7" t="e">
        <f>'Normal gait variables'!AM26</f>
        <v>#VALUE!</v>
      </c>
      <c r="AM7" t="e">
        <f>'Normal gait variables'!AN26</f>
        <v>#VALUE!</v>
      </c>
      <c r="AN7" t="e">
        <f>'Normal gait variables'!AO26</f>
        <v>#VALUE!</v>
      </c>
      <c r="AO7" t="e">
        <f>'Normal gait variables'!AP26</f>
        <v>#VALUE!</v>
      </c>
      <c r="AP7" t="e">
        <f>'Normal gait variables'!AQ26</f>
        <v>#VALUE!</v>
      </c>
      <c r="AQ7" t="e">
        <f>'Normal gait variables'!AR26</f>
        <v>#VALUE!</v>
      </c>
      <c r="AR7" t="e">
        <f>'Normal gait variables'!AS26</f>
        <v>#VALUE!</v>
      </c>
      <c r="AS7" t="e">
        <f>'Normal gait variables'!AT26</f>
        <v>#VALUE!</v>
      </c>
      <c r="AT7" t="e">
        <f>'Normal gait variables'!AU26</f>
        <v>#VALUE!</v>
      </c>
      <c r="AU7" t="e">
        <f>'Normal gait variables'!AV26</f>
        <v>#VALUE!</v>
      </c>
      <c r="AV7" t="e">
        <f>'Normal gait variables'!AW26</f>
        <v>#VALUE!</v>
      </c>
      <c r="AW7" t="e">
        <f>'Normal gait variables'!AX26</f>
        <v>#VALUE!</v>
      </c>
      <c r="AX7" t="e">
        <f>'Normal gait variables'!AY26</f>
        <v>#VALUE!</v>
      </c>
      <c r="AY7" t="e">
        <f>'Normal gait variables'!AZ26</f>
        <v>#VALUE!</v>
      </c>
      <c r="AZ7" t="e">
        <f>'Normal gait variables'!BA26</f>
        <v>#VALUE!</v>
      </c>
      <c r="BA7" t="e">
        <f>'Normal gait variables'!BB26</f>
        <v>#VALUE!</v>
      </c>
      <c r="BB7" t="e">
        <f>'Normal gait variables'!BC26</f>
        <v>#VALUE!</v>
      </c>
      <c r="BC7" t="e">
        <f>'Normal gait variables'!BD26</f>
        <v>#VALUE!</v>
      </c>
      <c r="BD7" t="e">
        <f>'Normal gait variables'!BE26</f>
        <v>#VALUE!</v>
      </c>
      <c r="BE7" t="e">
        <f>'Normal gait variables'!BF26</f>
        <v>#VALUE!</v>
      </c>
      <c r="BF7" t="e">
        <f>'Normal gait variables'!BG26</f>
        <v>#VALUE!</v>
      </c>
      <c r="BG7" t="e">
        <f>'Normal gait variables'!BH26</f>
        <v>#VALUE!</v>
      </c>
      <c r="BH7" t="e">
        <f>'Normal gait variables'!BI26</f>
        <v>#VALUE!</v>
      </c>
      <c r="BI7" t="e">
        <f>'Normal gait variables'!BJ26</f>
        <v>#VALUE!</v>
      </c>
      <c r="BJ7" t="e">
        <f>'Normal gait variables'!BK26</f>
        <v>#VALUE!</v>
      </c>
      <c r="BK7" t="e">
        <f>'Normal gait variables'!BL26</f>
        <v>#VALUE!</v>
      </c>
      <c r="BL7" t="e">
        <f>'Normal gait variables'!BM26</f>
        <v>#VALUE!</v>
      </c>
      <c r="BM7" t="e">
        <f>'Normal gait variables'!BN26</f>
        <v>#VALUE!</v>
      </c>
      <c r="BN7" t="e">
        <f>'Normal gait variables'!BO26</f>
        <v>#VALUE!</v>
      </c>
      <c r="BO7" t="e">
        <f>'Normal gait variables'!BP26</f>
        <v>#VALUE!</v>
      </c>
      <c r="BP7" t="e">
        <f>'Normal gait variables'!BQ26</f>
        <v>#VALUE!</v>
      </c>
      <c r="BQ7" t="e">
        <f>'Normal gait variables'!BR26</f>
        <v>#VALUE!</v>
      </c>
      <c r="BR7" t="e">
        <f>'Normal gait variables'!BS26</f>
        <v>#VALUE!</v>
      </c>
      <c r="BS7" t="e">
        <f>'Normal gait variables'!BT26</f>
        <v>#VALUE!</v>
      </c>
      <c r="BT7" t="e">
        <f>'Normal gait variables'!BU26</f>
        <v>#VALUE!</v>
      </c>
      <c r="BU7" t="e">
        <f>'Normal gait variables'!BV26</f>
        <v>#VALUE!</v>
      </c>
      <c r="BV7" t="e">
        <f>'Normal gait variables'!BW26</f>
        <v>#VALUE!</v>
      </c>
      <c r="BW7" t="e">
        <f>'Normal gait variables'!BX26</f>
        <v>#VALUE!</v>
      </c>
      <c r="BX7" t="e">
        <f>'Normal gait variables'!BY26</f>
        <v>#VALUE!</v>
      </c>
      <c r="BY7" t="e">
        <f>'Normal gait variables'!BZ26</f>
        <v>#VALUE!</v>
      </c>
      <c r="BZ7" t="e">
        <f>'Normal gait variables'!CA26</f>
        <v>#VALUE!</v>
      </c>
      <c r="CA7" t="e">
        <f>'Normal gait variables'!CB26</f>
        <v>#VALUE!</v>
      </c>
      <c r="CB7" t="e">
        <f>'Normal gait variables'!CC26</f>
        <v>#VALUE!</v>
      </c>
      <c r="CC7" t="e">
        <f>'Normal gait variables'!CD26</f>
        <v>#VALUE!</v>
      </c>
      <c r="CD7" t="e">
        <f>'Normal gait variables'!CE26</f>
        <v>#VALUE!</v>
      </c>
      <c r="CE7" t="e">
        <f>'Normal gait variables'!CF26</f>
        <v>#VALUE!</v>
      </c>
      <c r="CF7" t="e">
        <f>'Normal gait variables'!CG26</f>
        <v>#VALUE!</v>
      </c>
      <c r="CG7" t="e">
        <f>'Normal gait variables'!CH26</f>
        <v>#VALUE!</v>
      </c>
      <c r="CH7" t="e">
        <f>'Normal gait variables'!CI26</f>
        <v>#VALUE!</v>
      </c>
      <c r="CI7" t="e">
        <f>'Normal gait variables'!CJ26</f>
        <v>#VALUE!</v>
      </c>
      <c r="CJ7" t="e">
        <f>'Normal gait variables'!CK26</f>
        <v>#VALUE!</v>
      </c>
      <c r="CK7" t="e">
        <f>'Normal gait variables'!CL26</f>
        <v>#VALUE!</v>
      </c>
      <c r="CL7" t="e">
        <f>'Normal gait variables'!CM26</f>
        <v>#VALUE!</v>
      </c>
      <c r="CM7" t="e">
        <f>'Normal gait variables'!CN26</f>
        <v>#VALUE!</v>
      </c>
      <c r="CN7" t="e">
        <f>'Normal gait variables'!CO26</f>
        <v>#VALUE!</v>
      </c>
      <c r="CO7" t="e">
        <f>'Normal gait variables'!CP26</f>
        <v>#VALUE!</v>
      </c>
      <c r="CP7" t="e">
        <f>'Normal gait variables'!CQ26</f>
        <v>#VALUE!</v>
      </c>
      <c r="CQ7" t="e">
        <f>'Normal gait variables'!CR26</f>
        <v>#VALUE!</v>
      </c>
      <c r="CR7" t="e">
        <f>'Normal gait variables'!CS26</f>
        <v>#VALUE!</v>
      </c>
      <c r="CS7" t="e">
        <f>'Normal gait variables'!CT26</f>
        <v>#VALUE!</v>
      </c>
      <c r="CT7" t="e">
        <f>'Normal gait variables'!CU26</f>
        <v>#VALUE!</v>
      </c>
      <c r="CU7" t="e">
        <f>'Normal gait variables'!CV26</f>
        <v>#VALUE!</v>
      </c>
      <c r="CV7" t="e">
        <f>'Normal gait variables'!CW26</f>
        <v>#VALUE!</v>
      </c>
      <c r="CW7" t="e">
        <f>'Normal gait variables'!CX26</f>
        <v>#VALUE!</v>
      </c>
      <c r="CX7" t="e">
        <f>'Normal gait variables'!CY26</f>
        <v>#VALUE!</v>
      </c>
      <c r="CY7" t="e">
        <f>'Normal gait variables'!CZ26</f>
        <v>#VALUE!</v>
      </c>
      <c r="CZ7" t="e">
        <f>'Normal gait variables'!DA26</f>
        <v>#VALUE!</v>
      </c>
      <c r="DA7" t="e">
        <f>'Normal gait variables'!DB26</f>
        <v>#VALUE!</v>
      </c>
    </row>
    <row r="8" spans="1:107" x14ac:dyDescent="0.25">
      <c r="A8" t="s">
        <v>0</v>
      </c>
      <c r="B8" t="s">
        <v>1</v>
      </c>
      <c r="C8">
        <v>20</v>
      </c>
      <c r="D8" s="3" t="s">
        <v>2</v>
      </c>
      <c r="E8" t="e">
        <f>'Normal gait variables'!F27</f>
        <v>#VALUE!</v>
      </c>
      <c r="F8" t="e">
        <f>'Normal gait variables'!G27</f>
        <v>#VALUE!</v>
      </c>
      <c r="G8" t="e">
        <f>'Normal gait variables'!H27</f>
        <v>#VALUE!</v>
      </c>
      <c r="H8" t="e">
        <f>'Normal gait variables'!I27</f>
        <v>#VALUE!</v>
      </c>
      <c r="I8" t="e">
        <f>'Normal gait variables'!J27</f>
        <v>#VALUE!</v>
      </c>
      <c r="J8" t="e">
        <f>'Normal gait variables'!K27</f>
        <v>#VALUE!</v>
      </c>
      <c r="K8" t="e">
        <f>'Normal gait variables'!L27</f>
        <v>#VALUE!</v>
      </c>
      <c r="L8" t="e">
        <f>'Normal gait variables'!M27</f>
        <v>#VALUE!</v>
      </c>
      <c r="M8" t="e">
        <f>'Normal gait variables'!N27</f>
        <v>#VALUE!</v>
      </c>
      <c r="N8" t="e">
        <f>'Normal gait variables'!O27</f>
        <v>#VALUE!</v>
      </c>
      <c r="O8" t="e">
        <f>'Normal gait variables'!P27</f>
        <v>#VALUE!</v>
      </c>
      <c r="P8" t="e">
        <f>'Normal gait variables'!Q27</f>
        <v>#VALUE!</v>
      </c>
      <c r="Q8" t="e">
        <f>'Normal gait variables'!R27</f>
        <v>#VALUE!</v>
      </c>
      <c r="R8" t="e">
        <f>'Normal gait variables'!S27</f>
        <v>#VALUE!</v>
      </c>
      <c r="S8" t="e">
        <f>'Normal gait variables'!T27</f>
        <v>#VALUE!</v>
      </c>
      <c r="T8" t="e">
        <f>'Normal gait variables'!U27</f>
        <v>#VALUE!</v>
      </c>
      <c r="U8" t="e">
        <f>'Normal gait variables'!V27</f>
        <v>#VALUE!</v>
      </c>
      <c r="V8" t="e">
        <f>'Normal gait variables'!W27</f>
        <v>#VALUE!</v>
      </c>
      <c r="W8" t="e">
        <f>'Normal gait variables'!X27</f>
        <v>#VALUE!</v>
      </c>
      <c r="X8" t="e">
        <f>'Normal gait variables'!Y27</f>
        <v>#VALUE!</v>
      </c>
      <c r="Y8" t="e">
        <f>'Normal gait variables'!Z27</f>
        <v>#VALUE!</v>
      </c>
      <c r="Z8" t="e">
        <f>'Normal gait variables'!AA27</f>
        <v>#VALUE!</v>
      </c>
      <c r="AA8" t="e">
        <f>'Normal gait variables'!AB27</f>
        <v>#VALUE!</v>
      </c>
      <c r="AB8" t="e">
        <f>'Normal gait variables'!AC27</f>
        <v>#VALUE!</v>
      </c>
      <c r="AC8" t="e">
        <f>'Normal gait variables'!AD27</f>
        <v>#VALUE!</v>
      </c>
      <c r="AD8" t="e">
        <f>'Normal gait variables'!AE27</f>
        <v>#VALUE!</v>
      </c>
      <c r="AE8" t="e">
        <f>'Normal gait variables'!AF27</f>
        <v>#VALUE!</v>
      </c>
      <c r="AF8" t="e">
        <f>'Normal gait variables'!AG27</f>
        <v>#VALUE!</v>
      </c>
      <c r="AG8" t="e">
        <f>'Normal gait variables'!AH27</f>
        <v>#VALUE!</v>
      </c>
      <c r="AH8" t="e">
        <f>'Normal gait variables'!AI27</f>
        <v>#VALUE!</v>
      </c>
      <c r="AI8" t="e">
        <f>'Normal gait variables'!AJ27</f>
        <v>#VALUE!</v>
      </c>
      <c r="AJ8" t="e">
        <f>'Normal gait variables'!AK27</f>
        <v>#VALUE!</v>
      </c>
      <c r="AK8" t="e">
        <f>'Normal gait variables'!AL27</f>
        <v>#VALUE!</v>
      </c>
      <c r="AL8" t="e">
        <f>'Normal gait variables'!AM27</f>
        <v>#VALUE!</v>
      </c>
      <c r="AM8" t="e">
        <f>'Normal gait variables'!AN27</f>
        <v>#VALUE!</v>
      </c>
      <c r="AN8" t="e">
        <f>'Normal gait variables'!AO27</f>
        <v>#VALUE!</v>
      </c>
      <c r="AO8" t="e">
        <f>'Normal gait variables'!AP27</f>
        <v>#VALUE!</v>
      </c>
      <c r="AP8" t="e">
        <f>'Normal gait variables'!AQ27</f>
        <v>#VALUE!</v>
      </c>
      <c r="AQ8" t="e">
        <f>'Normal gait variables'!AR27</f>
        <v>#VALUE!</v>
      </c>
      <c r="AR8" t="e">
        <f>'Normal gait variables'!AS27</f>
        <v>#VALUE!</v>
      </c>
      <c r="AS8" t="e">
        <f>'Normal gait variables'!AT27</f>
        <v>#VALUE!</v>
      </c>
      <c r="AT8" t="e">
        <f>'Normal gait variables'!AU27</f>
        <v>#VALUE!</v>
      </c>
      <c r="AU8" t="e">
        <f>'Normal gait variables'!AV27</f>
        <v>#VALUE!</v>
      </c>
      <c r="AV8" t="e">
        <f>'Normal gait variables'!AW27</f>
        <v>#VALUE!</v>
      </c>
      <c r="AW8" t="e">
        <f>'Normal gait variables'!AX27</f>
        <v>#VALUE!</v>
      </c>
      <c r="AX8" t="e">
        <f>'Normal gait variables'!AY27</f>
        <v>#VALUE!</v>
      </c>
      <c r="AY8" t="e">
        <f>'Normal gait variables'!AZ27</f>
        <v>#VALUE!</v>
      </c>
      <c r="AZ8" t="e">
        <f>'Normal gait variables'!BA27</f>
        <v>#VALUE!</v>
      </c>
      <c r="BA8" t="e">
        <f>'Normal gait variables'!BB27</f>
        <v>#VALUE!</v>
      </c>
      <c r="BB8" t="e">
        <f>'Normal gait variables'!BC27</f>
        <v>#VALUE!</v>
      </c>
      <c r="BC8" t="e">
        <f>'Normal gait variables'!BD27</f>
        <v>#VALUE!</v>
      </c>
      <c r="BD8" t="e">
        <f>'Normal gait variables'!BE27</f>
        <v>#VALUE!</v>
      </c>
      <c r="BE8" t="e">
        <f>'Normal gait variables'!BF27</f>
        <v>#VALUE!</v>
      </c>
      <c r="BF8" t="e">
        <f>'Normal gait variables'!BG27</f>
        <v>#VALUE!</v>
      </c>
      <c r="BG8" t="e">
        <f>'Normal gait variables'!BH27</f>
        <v>#VALUE!</v>
      </c>
      <c r="BH8" t="e">
        <f>'Normal gait variables'!BI27</f>
        <v>#VALUE!</v>
      </c>
      <c r="BI8" t="e">
        <f>'Normal gait variables'!BJ27</f>
        <v>#VALUE!</v>
      </c>
      <c r="BJ8" t="e">
        <f>'Normal gait variables'!BK27</f>
        <v>#VALUE!</v>
      </c>
      <c r="BK8" t="e">
        <f>'Normal gait variables'!BL27</f>
        <v>#VALUE!</v>
      </c>
      <c r="BL8" t="e">
        <f>'Normal gait variables'!BM27</f>
        <v>#VALUE!</v>
      </c>
      <c r="BM8" t="e">
        <f>'Normal gait variables'!BN27</f>
        <v>#VALUE!</v>
      </c>
      <c r="BN8" t="e">
        <f>'Normal gait variables'!BO27</f>
        <v>#VALUE!</v>
      </c>
      <c r="BO8" t="e">
        <f>'Normal gait variables'!BP27</f>
        <v>#VALUE!</v>
      </c>
      <c r="BP8" t="e">
        <f>'Normal gait variables'!BQ27</f>
        <v>#VALUE!</v>
      </c>
      <c r="BQ8" t="e">
        <f>'Normal gait variables'!BR27</f>
        <v>#VALUE!</v>
      </c>
      <c r="BR8" t="e">
        <f>'Normal gait variables'!BS27</f>
        <v>#VALUE!</v>
      </c>
      <c r="BS8" t="e">
        <f>'Normal gait variables'!BT27</f>
        <v>#VALUE!</v>
      </c>
      <c r="BT8" t="e">
        <f>'Normal gait variables'!BU27</f>
        <v>#VALUE!</v>
      </c>
      <c r="BU8" t="e">
        <f>'Normal gait variables'!BV27</f>
        <v>#VALUE!</v>
      </c>
      <c r="BV8" t="e">
        <f>'Normal gait variables'!BW27</f>
        <v>#VALUE!</v>
      </c>
      <c r="BW8" t="e">
        <f>'Normal gait variables'!BX27</f>
        <v>#VALUE!</v>
      </c>
      <c r="BX8" t="e">
        <f>'Normal gait variables'!BY27</f>
        <v>#VALUE!</v>
      </c>
      <c r="BY8" t="e">
        <f>'Normal gait variables'!BZ27</f>
        <v>#VALUE!</v>
      </c>
      <c r="BZ8" t="e">
        <f>'Normal gait variables'!CA27</f>
        <v>#VALUE!</v>
      </c>
      <c r="CA8" t="e">
        <f>'Normal gait variables'!CB27</f>
        <v>#VALUE!</v>
      </c>
      <c r="CB8" t="e">
        <f>'Normal gait variables'!CC27</f>
        <v>#VALUE!</v>
      </c>
      <c r="CC8" t="e">
        <f>'Normal gait variables'!CD27</f>
        <v>#VALUE!</v>
      </c>
      <c r="CD8" t="e">
        <f>'Normal gait variables'!CE27</f>
        <v>#VALUE!</v>
      </c>
      <c r="CE8" t="e">
        <f>'Normal gait variables'!CF27</f>
        <v>#VALUE!</v>
      </c>
      <c r="CF8" t="e">
        <f>'Normal gait variables'!CG27</f>
        <v>#VALUE!</v>
      </c>
      <c r="CG8" t="e">
        <f>'Normal gait variables'!CH27</f>
        <v>#VALUE!</v>
      </c>
      <c r="CH8" t="e">
        <f>'Normal gait variables'!CI27</f>
        <v>#VALUE!</v>
      </c>
      <c r="CI8" t="e">
        <f>'Normal gait variables'!CJ27</f>
        <v>#VALUE!</v>
      </c>
      <c r="CJ8" t="e">
        <f>'Normal gait variables'!CK27</f>
        <v>#VALUE!</v>
      </c>
      <c r="CK8" t="e">
        <f>'Normal gait variables'!CL27</f>
        <v>#VALUE!</v>
      </c>
      <c r="CL8" t="e">
        <f>'Normal gait variables'!CM27</f>
        <v>#VALUE!</v>
      </c>
      <c r="CM8" t="e">
        <f>'Normal gait variables'!CN27</f>
        <v>#VALUE!</v>
      </c>
      <c r="CN8" t="e">
        <f>'Normal gait variables'!CO27</f>
        <v>#VALUE!</v>
      </c>
      <c r="CO8" t="e">
        <f>'Normal gait variables'!CP27</f>
        <v>#VALUE!</v>
      </c>
      <c r="CP8" t="e">
        <f>'Normal gait variables'!CQ27</f>
        <v>#VALUE!</v>
      </c>
      <c r="CQ8" t="e">
        <f>'Normal gait variables'!CR27</f>
        <v>#VALUE!</v>
      </c>
      <c r="CR8" t="e">
        <f>'Normal gait variables'!CS27</f>
        <v>#VALUE!</v>
      </c>
      <c r="CS8" t="e">
        <f>'Normal gait variables'!CT27</f>
        <v>#VALUE!</v>
      </c>
      <c r="CT8" t="e">
        <f>'Normal gait variables'!CU27</f>
        <v>#VALUE!</v>
      </c>
      <c r="CU8" t="e">
        <f>'Normal gait variables'!CV27</f>
        <v>#VALUE!</v>
      </c>
      <c r="CV8" t="e">
        <f>'Normal gait variables'!CW27</f>
        <v>#VALUE!</v>
      </c>
      <c r="CW8" t="e">
        <f>'Normal gait variables'!CX27</f>
        <v>#VALUE!</v>
      </c>
      <c r="CX8" t="e">
        <f>'Normal gait variables'!CY27</f>
        <v>#VALUE!</v>
      </c>
      <c r="CY8" t="e">
        <f>'Normal gait variables'!CZ27</f>
        <v>#VALUE!</v>
      </c>
      <c r="CZ8" t="e">
        <f>'Normal gait variables'!DA27</f>
        <v>#VALUE!</v>
      </c>
      <c r="DA8" t="e">
        <f>'Normal gait variables'!DB27</f>
        <v>#VALUE!</v>
      </c>
    </row>
    <row r="9" spans="1:107" x14ac:dyDescent="0.25">
      <c r="A9" t="s">
        <v>0</v>
      </c>
      <c r="B9" t="s">
        <v>3</v>
      </c>
      <c r="C9">
        <v>20</v>
      </c>
      <c r="D9" s="3" t="s">
        <v>2</v>
      </c>
      <c r="E9" t="e">
        <f>'Normal gait variables'!F28</f>
        <v>#VALUE!</v>
      </c>
      <c r="F9" t="e">
        <f>'Normal gait variables'!G28</f>
        <v>#VALUE!</v>
      </c>
      <c r="G9" t="e">
        <f>'Normal gait variables'!H28</f>
        <v>#VALUE!</v>
      </c>
      <c r="H9" t="e">
        <f>'Normal gait variables'!I28</f>
        <v>#VALUE!</v>
      </c>
      <c r="I9" t="e">
        <f>'Normal gait variables'!J28</f>
        <v>#VALUE!</v>
      </c>
      <c r="J9" t="e">
        <f>'Normal gait variables'!K28</f>
        <v>#VALUE!</v>
      </c>
      <c r="K9" t="e">
        <f>'Normal gait variables'!L28</f>
        <v>#VALUE!</v>
      </c>
      <c r="L9" t="e">
        <f>'Normal gait variables'!M28</f>
        <v>#VALUE!</v>
      </c>
      <c r="M9" t="e">
        <f>'Normal gait variables'!N28</f>
        <v>#VALUE!</v>
      </c>
      <c r="N9" t="e">
        <f>'Normal gait variables'!O28</f>
        <v>#VALUE!</v>
      </c>
      <c r="O9" t="e">
        <f>'Normal gait variables'!P28</f>
        <v>#VALUE!</v>
      </c>
      <c r="P9" t="e">
        <f>'Normal gait variables'!Q28</f>
        <v>#VALUE!</v>
      </c>
      <c r="Q9" t="e">
        <f>'Normal gait variables'!R28</f>
        <v>#VALUE!</v>
      </c>
      <c r="R9" t="e">
        <f>'Normal gait variables'!S28</f>
        <v>#VALUE!</v>
      </c>
      <c r="S9" t="e">
        <f>'Normal gait variables'!T28</f>
        <v>#VALUE!</v>
      </c>
      <c r="T9" t="e">
        <f>'Normal gait variables'!U28</f>
        <v>#VALUE!</v>
      </c>
      <c r="U9" t="e">
        <f>'Normal gait variables'!V28</f>
        <v>#VALUE!</v>
      </c>
      <c r="V9" t="e">
        <f>'Normal gait variables'!W28</f>
        <v>#VALUE!</v>
      </c>
      <c r="W9" t="e">
        <f>'Normal gait variables'!X28</f>
        <v>#VALUE!</v>
      </c>
      <c r="X9" t="e">
        <f>'Normal gait variables'!Y28</f>
        <v>#VALUE!</v>
      </c>
      <c r="Y9" t="e">
        <f>'Normal gait variables'!Z28</f>
        <v>#VALUE!</v>
      </c>
      <c r="Z9" t="e">
        <f>'Normal gait variables'!AA28</f>
        <v>#VALUE!</v>
      </c>
      <c r="AA9" t="e">
        <f>'Normal gait variables'!AB28</f>
        <v>#VALUE!</v>
      </c>
      <c r="AB9" t="e">
        <f>'Normal gait variables'!AC28</f>
        <v>#VALUE!</v>
      </c>
      <c r="AC9" t="e">
        <f>'Normal gait variables'!AD28</f>
        <v>#VALUE!</v>
      </c>
      <c r="AD9" t="e">
        <f>'Normal gait variables'!AE28</f>
        <v>#VALUE!</v>
      </c>
      <c r="AE9" t="e">
        <f>'Normal gait variables'!AF28</f>
        <v>#VALUE!</v>
      </c>
      <c r="AF9" t="e">
        <f>'Normal gait variables'!AG28</f>
        <v>#VALUE!</v>
      </c>
      <c r="AG9" t="e">
        <f>'Normal gait variables'!AH28</f>
        <v>#VALUE!</v>
      </c>
      <c r="AH9" t="e">
        <f>'Normal gait variables'!AI28</f>
        <v>#VALUE!</v>
      </c>
      <c r="AI9" t="e">
        <f>'Normal gait variables'!AJ28</f>
        <v>#VALUE!</v>
      </c>
      <c r="AJ9" t="e">
        <f>'Normal gait variables'!AK28</f>
        <v>#VALUE!</v>
      </c>
      <c r="AK9" t="e">
        <f>'Normal gait variables'!AL28</f>
        <v>#VALUE!</v>
      </c>
      <c r="AL9" t="e">
        <f>'Normal gait variables'!AM28</f>
        <v>#VALUE!</v>
      </c>
      <c r="AM9" t="e">
        <f>'Normal gait variables'!AN28</f>
        <v>#VALUE!</v>
      </c>
      <c r="AN9" t="e">
        <f>'Normal gait variables'!AO28</f>
        <v>#VALUE!</v>
      </c>
      <c r="AO9" t="e">
        <f>'Normal gait variables'!AP28</f>
        <v>#VALUE!</v>
      </c>
      <c r="AP9" t="e">
        <f>'Normal gait variables'!AQ28</f>
        <v>#VALUE!</v>
      </c>
      <c r="AQ9" t="e">
        <f>'Normal gait variables'!AR28</f>
        <v>#VALUE!</v>
      </c>
      <c r="AR9" t="e">
        <f>'Normal gait variables'!AS28</f>
        <v>#VALUE!</v>
      </c>
      <c r="AS9" t="e">
        <f>'Normal gait variables'!AT28</f>
        <v>#VALUE!</v>
      </c>
      <c r="AT9" t="e">
        <f>'Normal gait variables'!AU28</f>
        <v>#VALUE!</v>
      </c>
      <c r="AU9" t="e">
        <f>'Normal gait variables'!AV28</f>
        <v>#VALUE!</v>
      </c>
      <c r="AV9" t="e">
        <f>'Normal gait variables'!AW28</f>
        <v>#VALUE!</v>
      </c>
      <c r="AW9" t="e">
        <f>'Normal gait variables'!AX28</f>
        <v>#VALUE!</v>
      </c>
      <c r="AX9" t="e">
        <f>'Normal gait variables'!AY28</f>
        <v>#VALUE!</v>
      </c>
      <c r="AY9" t="e">
        <f>'Normal gait variables'!AZ28</f>
        <v>#VALUE!</v>
      </c>
      <c r="AZ9" t="e">
        <f>'Normal gait variables'!BA28</f>
        <v>#VALUE!</v>
      </c>
      <c r="BA9" t="e">
        <f>'Normal gait variables'!BB28</f>
        <v>#VALUE!</v>
      </c>
      <c r="BB9" t="e">
        <f>'Normal gait variables'!BC28</f>
        <v>#VALUE!</v>
      </c>
      <c r="BC9" t="e">
        <f>'Normal gait variables'!BD28</f>
        <v>#VALUE!</v>
      </c>
      <c r="BD9" t="e">
        <f>'Normal gait variables'!BE28</f>
        <v>#VALUE!</v>
      </c>
      <c r="BE9" t="e">
        <f>'Normal gait variables'!BF28</f>
        <v>#VALUE!</v>
      </c>
      <c r="BF9" t="e">
        <f>'Normal gait variables'!BG28</f>
        <v>#VALUE!</v>
      </c>
      <c r="BG9" t="e">
        <f>'Normal gait variables'!BH28</f>
        <v>#VALUE!</v>
      </c>
      <c r="BH9" t="e">
        <f>'Normal gait variables'!BI28</f>
        <v>#VALUE!</v>
      </c>
      <c r="BI9" t="e">
        <f>'Normal gait variables'!BJ28</f>
        <v>#VALUE!</v>
      </c>
      <c r="BJ9" t="e">
        <f>'Normal gait variables'!BK28</f>
        <v>#VALUE!</v>
      </c>
      <c r="BK9" t="e">
        <f>'Normal gait variables'!BL28</f>
        <v>#VALUE!</v>
      </c>
      <c r="BL9" t="e">
        <f>'Normal gait variables'!BM28</f>
        <v>#VALUE!</v>
      </c>
      <c r="BM9" t="e">
        <f>'Normal gait variables'!BN28</f>
        <v>#VALUE!</v>
      </c>
      <c r="BN9" t="e">
        <f>'Normal gait variables'!BO28</f>
        <v>#VALUE!</v>
      </c>
      <c r="BO9" t="e">
        <f>'Normal gait variables'!BP28</f>
        <v>#VALUE!</v>
      </c>
      <c r="BP9" t="e">
        <f>'Normal gait variables'!BQ28</f>
        <v>#VALUE!</v>
      </c>
      <c r="BQ9" t="e">
        <f>'Normal gait variables'!BR28</f>
        <v>#VALUE!</v>
      </c>
      <c r="BR9" t="e">
        <f>'Normal gait variables'!BS28</f>
        <v>#VALUE!</v>
      </c>
      <c r="BS9" t="e">
        <f>'Normal gait variables'!BT28</f>
        <v>#VALUE!</v>
      </c>
      <c r="BT9" t="e">
        <f>'Normal gait variables'!BU28</f>
        <v>#VALUE!</v>
      </c>
      <c r="BU9" t="e">
        <f>'Normal gait variables'!BV28</f>
        <v>#VALUE!</v>
      </c>
      <c r="BV9" t="e">
        <f>'Normal gait variables'!BW28</f>
        <v>#VALUE!</v>
      </c>
      <c r="BW9" t="e">
        <f>'Normal gait variables'!BX28</f>
        <v>#VALUE!</v>
      </c>
      <c r="BX9" t="e">
        <f>'Normal gait variables'!BY28</f>
        <v>#VALUE!</v>
      </c>
      <c r="BY9" t="e">
        <f>'Normal gait variables'!BZ28</f>
        <v>#VALUE!</v>
      </c>
      <c r="BZ9" t="e">
        <f>'Normal gait variables'!CA28</f>
        <v>#VALUE!</v>
      </c>
      <c r="CA9" t="e">
        <f>'Normal gait variables'!CB28</f>
        <v>#VALUE!</v>
      </c>
      <c r="CB9" t="e">
        <f>'Normal gait variables'!CC28</f>
        <v>#VALUE!</v>
      </c>
      <c r="CC9" t="e">
        <f>'Normal gait variables'!CD28</f>
        <v>#VALUE!</v>
      </c>
      <c r="CD9" t="e">
        <f>'Normal gait variables'!CE28</f>
        <v>#VALUE!</v>
      </c>
      <c r="CE9" t="e">
        <f>'Normal gait variables'!CF28</f>
        <v>#VALUE!</v>
      </c>
      <c r="CF9" t="e">
        <f>'Normal gait variables'!CG28</f>
        <v>#VALUE!</v>
      </c>
      <c r="CG9" t="e">
        <f>'Normal gait variables'!CH28</f>
        <v>#VALUE!</v>
      </c>
      <c r="CH9" t="e">
        <f>'Normal gait variables'!CI28</f>
        <v>#VALUE!</v>
      </c>
      <c r="CI9" t="e">
        <f>'Normal gait variables'!CJ28</f>
        <v>#VALUE!</v>
      </c>
      <c r="CJ9" t="e">
        <f>'Normal gait variables'!CK28</f>
        <v>#VALUE!</v>
      </c>
      <c r="CK9" t="e">
        <f>'Normal gait variables'!CL28</f>
        <v>#VALUE!</v>
      </c>
      <c r="CL9" t="e">
        <f>'Normal gait variables'!CM28</f>
        <v>#VALUE!</v>
      </c>
      <c r="CM9" t="e">
        <f>'Normal gait variables'!CN28</f>
        <v>#VALUE!</v>
      </c>
      <c r="CN9" t="e">
        <f>'Normal gait variables'!CO28</f>
        <v>#VALUE!</v>
      </c>
      <c r="CO9" t="e">
        <f>'Normal gait variables'!CP28</f>
        <v>#VALUE!</v>
      </c>
      <c r="CP9" t="e">
        <f>'Normal gait variables'!CQ28</f>
        <v>#VALUE!</v>
      </c>
      <c r="CQ9" t="e">
        <f>'Normal gait variables'!CR28</f>
        <v>#VALUE!</v>
      </c>
      <c r="CR9" t="e">
        <f>'Normal gait variables'!CS28</f>
        <v>#VALUE!</v>
      </c>
      <c r="CS9" t="e">
        <f>'Normal gait variables'!CT28</f>
        <v>#VALUE!</v>
      </c>
      <c r="CT9" t="e">
        <f>'Normal gait variables'!CU28</f>
        <v>#VALUE!</v>
      </c>
      <c r="CU9" t="e">
        <f>'Normal gait variables'!CV28</f>
        <v>#VALUE!</v>
      </c>
      <c r="CV9" t="e">
        <f>'Normal gait variables'!CW28</f>
        <v>#VALUE!</v>
      </c>
      <c r="CW9" t="e">
        <f>'Normal gait variables'!CX28</f>
        <v>#VALUE!</v>
      </c>
      <c r="CX9" t="e">
        <f>'Normal gait variables'!CY28</f>
        <v>#VALUE!</v>
      </c>
      <c r="CY9" t="e">
        <f>'Normal gait variables'!CZ28</f>
        <v>#VALUE!</v>
      </c>
      <c r="CZ9" t="e">
        <f>'Normal gait variables'!DA28</f>
        <v>#VALUE!</v>
      </c>
      <c r="DA9" t="e">
        <f>'Normal gait variables'!DB28</f>
        <v>#VALUE!</v>
      </c>
    </row>
    <row r="10" spans="1:107" x14ac:dyDescent="0.25">
      <c r="A10" t="s">
        <v>0</v>
      </c>
      <c r="B10" t="s">
        <v>4</v>
      </c>
      <c r="C10">
        <v>20</v>
      </c>
      <c r="D10" s="3" t="s">
        <v>2</v>
      </c>
      <c r="E10" t="e">
        <f>'Normal gait variables'!F29</f>
        <v>#VALUE!</v>
      </c>
      <c r="F10" t="e">
        <f>'Normal gait variables'!G29</f>
        <v>#VALUE!</v>
      </c>
      <c r="G10" t="e">
        <f>'Normal gait variables'!H29</f>
        <v>#VALUE!</v>
      </c>
      <c r="H10" t="e">
        <f>'Normal gait variables'!I29</f>
        <v>#VALUE!</v>
      </c>
      <c r="I10" t="e">
        <f>'Normal gait variables'!J29</f>
        <v>#VALUE!</v>
      </c>
      <c r="J10" t="e">
        <f>'Normal gait variables'!K29</f>
        <v>#VALUE!</v>
      </c>
      <c r="K10" t="e">
        <f>'Normal gait variables'!L29</f>
        <v>#VALUE!</v>
      </c>
      <c r="L10" t="e">
        <f>'Normal gait variables'!M29</f>
        <v>#VALUE!</v>
      </c>
      <c r="M10" t="e">
        <f>'Normal gait variables'!N29</f>
        <v>#VALUE!</v>
      </c>
      <c r="N10" t="e">
        <f>'Normal gait variables'!O29</f>
        <v>#VALUE!</v>
      </c>
      <c r="O10" t="e">
        <f>'Normal gait variables'!P29</f>
        <v>#VALUE!</v>
      </c>
      <c r="P10" t="e">
        <f>'Normal gait variables'!Q29</f>
        <v>#VALUE!</v>
      </c>
      <c r="Q10" t="e">
        <f>'Normal gait variables'!R29</f>
        <v>#VALUE!</v>
      </c>
      <c r="R10" t="e">
        <f>'Normal gait variables'!S29</f>
        <v>#VALUE!</v>
      </c>
      <c r="S10" t="e">
        <f>'Normal gait variables'!T29</f>
        <v>#VALUE!</v>
      </c>
      <c r="T10" t="e">
        <f>'Normal gait variables'!U29</f>
        <v>#VALUE!</v>
      </c>
      <c r="U10" t="e">
        <f>'Normal gait variables'!V29</f>
        <v>#VALUE!</v>
      </c>
      <c r="V10" t="e">
        <f>'Normal gait variables'!W29</f>
        <v>#VALUE!</v>
      </c>
      <c r="W10" t="e">
        <f>'Normal gait variables'!X29</f>
        <v>#VALUE!</v>
      </c>
      <c r="X10" t="e">
        <f>'Normal gait variables'!Y29</f>
        <v>#VALUE!</v>
      </c>
      <c r="Y10" t="e">
        <f>'Normal gait variables'!Z29</f>
        <v>#VALUE!</v>
      </c>
      <c r="Z10" t="e">
        <f>'Normal gait variables'!AA29</f>
        <v>#VALUE!</v>
      </c>
      <c r="AA10" t="e">
        <f>'Normal gait variables'!AB29</f>
        <v>#VALUE!</v>
      </c>
      <c r="AB10" t="e">
        <f>'Normal gait variables'!AC29</f>
        <v>#VALUE!</v>
      </c>
      <c r="AC10" t="e">
        <f>'Normal gait variables'!AD29</f>
        <v>#VALUE!</v>
      </c>
      <c r="AD10" t="e">
        <f>'Normal gait variables'!AE29</f>
        <v>#VALUE!</v>
      </c>
      <c r="AE10" t="e">
        <f>'Normal gait variables'!AF29</f>
        <v>#VALUE!</v>
      </c>
      <c r="AF10" t="e">
        <f>'Normal gait variables'!AG29</f>
        <v>#VALUE!</v>
      </c>
      <c r="AG10" t="e">
        <f>'Normal gait variables'!AH29</f>
        <v>#VALUE!</v>
      </c>
      <c r="AH10" t="e">
        <f>'Normal gait variables'!AI29</f>
        <v>#VALUE!</v>
      </c>
      <c r="AI10" t="e">
        <f>'Normal gait variables'!AJ29</f>
        <v>#VALUE!</v>
      </c>
      <c r="AJ10" t="e">
        <f>'Normal gait variables'!AK29</f>
        <v>#VALUE!</v>
      </c>
      <c r="AK10" t="e">
        <f>'Normal gait variables'!AL29</f>
        <v>#VALUE!</v>
      </c>
      <c r="AL10" t="e">
        <f>'Normal gait variables'!AM29</f>
        <v>#VALUE!</v>
      </c>
      <c r="AM10" t="e">
        <f>'Normal gait variables'!AN29</f>
        <v>#VALUE!</v>
      </c>
      <c r="AN10" t="e">
        <f>'Normal gait variables'!AO29</f>
        <v>#VALUE!</v>
      </c>
      <c r="AO10" t="e">
        <f>'Normal gait variables'!AP29</f>
        <v>#VALUE!</v>
      </c>
      <c r="AP10" t="e">
        <f>'Normal gait variables'!AQ29</f>
        <v>#VALUE!</v>
      </c>
      <c r="AQ10" t="e">
        <f>'Normal gait variables'!AR29</f>
        <v>#VALUE!</v>
      </c>
      <c r="AR10" t="e">
        <f>'Normal gait variables'!AS29</f>
        <v>#VALUE!</v>
      </c>
      <c r="AS10" t="e">
        <f>'Normal gait variables'!AT29</f>
        <v>#VALUE!</v>
      </c>
      <c r="AT10" t="e">
        <f>'Normal gait variables'!AU29</f>
        <v>#VALUE!</v>
      </c>
      <c r="AU10" t="e">
        <f>'Normal gait variables'!AV29</f>
        <v>#VALUE!</v>
      </c>
      <c r="AV10" t="e">
        <f>'Normal gait variables'!AW29</f>
        <v>#VALUE!</v>
      </c>
      <c r="AW10" t="e">
        <f>'Normal gait variables'!AX29</f>
        <v>#VALUE!</v>
      </c>
      <c r="AX10" t="e">
        <f>'Normal gait variables'!AY29</f>
        <v>#VALUE!</v>
      </c>
      <c r="AY10" t="e">
        <f>'Normal gait variables'!AZ29</f>
        <v>#VALUE!</v>
      </c>
      <c r="AZ10" t="e">
        <f>'Normal gait variables'!BA29</f>
        <v>#VALUE!</v>
      </c>
      <c r="BA10" t="e">
        <f>'Normal gait variables'!BB29</f>
        <v>#VALUE!</v>
      </c>
      <c r="BB10" t="e">
        <f>'Normal gait variables'!BC29</f>
        <v>#VALUE!</v>
      </c>
      <c r="BC10" t="e">
        <f>'Normal gait variables'!BD29</f>
        <v>#VALUE!</v>
      </c>
      <c r="BD10" t="e">
        <f>'Normal gait variables'!BE29</f>
        <v>#VALUE!</v>
      </c>
      <c r="BE10" t="e">
        <f>'Normal gait variables'!BF29</f>
        <v>#VALUE!</v>
      </c>
      <c r="BF10" t="e">
        <f>'Normal gait variables'!BG29</f>
        <v>#VALUE!</v>
      </c>
      <c r="BG10" t="e">
        <f>'Normal gait variables'!BH29</f>
        <v>#VALUE!</v>
      </c>
      <c r="BH10" t="e">
        <f>'Normal gait variables'!BI29</f>
        <v>#VALUE!</v>
      </c>
      <c r="BI10" t="e">
        <f>'Normal gait variables'!BJ29</f>
        <v>#VALUE!</v>
      </c>
      <c r="BJ10" t="e">
        <f>'Normal gait variables'!BK29</f>
        <v>#VALUE!</v>
      </c>
      <c r="BK10" t="e">
        <f>'Normal gait variables'!BL29</f>
        <v>#VALUE!</v>
      </c>
      <c r="BL10" t="e">
        <f>'Normal gait variables'!BM29</f>
        <v>#VALUE!</v>
      </c>
      <c r="BM10" t="e">
        <f>'Normal gait variables'!BN29</f>
        <v>#VALUE!</v>
      </c>
      <c r="BN10" t="e">
        <f>'Normal gait variables'!BO29</f>
        <v>#VALUE!</v>
      </c>
      <c r="BO10" t="e">
        <f>'Normal gait variables'!BP29</f>
        <v>#VALUE!</v>
      </c>
      <c r="BP10" t="e">
        <f>'Normal gait variables'!BQ29</f>
        <v>#VALUE!</v>
      </c>
      <c r="BQ10" t="e">
        <f>'Normal gait variables'!BR29</f>
        <v>#VALUE!</v>
      </c>
      <c r="BR10" t="e">
        <f>'Normal gait variables'!BS29</f>
        <v>#VALUE!</v>
      </c>
      <c r="BS10" t="e">
        <f>'Normal gait variables'!BT29</f>
        <v>#VALUE!</v>
      </c>
      <c r="BT10" t="e">
        <f>'Normal gait variables'!BU29</f>
        <v>#VALUE!</v>
      </c>
      <c r="BU10" t="e">
        <f>'Normal gait variables'!BV29</f>
        <v>#VALUE!</v>
      </c>
      <c r="BV10" t="e">
        <f>'Normal gait variables'!BW29</f>
        <v>#VALUE!</v>
      </c>
      <c r="BW10" t="e">
        <f>'Normal gait variables'!BX29</f>
        <v>#VALUE!</v>
      </c>
      <c r="BX10" t="e">
        <f>'Normal gait variables'!BY29</f>
        <v>#VALUE!</v>
      </c>
      <c r="BY10" t="e">
        <f>'Normal gait variables'!BZ29</f>
        <v>#VALUE!</v>
      </c>
      <c r="BZ10" t="e">
        <f>'Normal gait variables'!CA29</f>
        <v>#VALUE!</v>
      </c>
      <c r="CA10" t="e">
        <f>'Normal gait variables'!CB29</f>
        <v>#VALUE!</v>
      </c>
      <c r="CB10" t="e">
        <f>'Normal gait variables'!CC29</f>
        <v>#VALUE!</v>
      </c>
      <c r="CC10" t="e">
        <f>'Normal gait variables'!CD29</f>
        <v>#VALUE!</v>
      </c>
      <c r="CD10" t="e">
        <f>'Normal gait variables'!CE29</f>
        <v>#VALUE!</v>
      </c>
      <c r="CE10" t="e">
        <f>'Normal gait variables'!CF29</f>
        <v>#VALUE!</v>
      </c>
      <c r="CF10" t="e">
        <f>'Normal gait variables'!CG29</f>
        <v>#VALUE!</v>
      </c>
      <c r="CG10" t="e">
        <f>'Normal gait variables'!CH29</f>
        <v>#VALUE!</v>
      </c>
      <c r="CH10" t="e">
        <f>'Normal gait variables'!CI29</f>
        <v>#VALUE!</v>
      </c>
      <c r="CI10" t="e">
        <f>'Normal gait variables'!CJ29</f>
        <v>#VALUE!</v>
      </c>
      <c r="CJ10" t="e">
        <f>'Normal gait variables'!CK29</f>
        <v>#VALUE!</v>
      </c>
      <c r="CK10" t="e">
        <f>'Normal gait variables'!CL29</f>
        <v>#VALUE!</v>
      </c>
      <c r="CL10" t="e">
        <f>'Normal gait variables'!CM29</f>
        <v>#VALUE!</v>
      </c>
      <c r="CM10" t="e">
        <f>'Normal gait variables'!CN29</f>
        <v>#VALUE!</v>
      </c>
      <c r="CN10" t="e">
        <f>'Normal gait variables'!CO29</f>
        <v>#VALUE!</v>
      </c>
      <c r="CO10" t="e">
        <f>'Normal gait variables'!CP29</f>
        <v>#VALUE!</v>
      </c>
      <c r="CP10" t="e">
        <f>'Normal gait variables'!CQ29</f>
        <v>#VALUE!</v>
      </c>
      <c r="CQ10" t="e">
        <f>'Normal gait variables'!CR29</f>
        <v>#VALUE!</v>
      </c>
      <c r="CR10" t="e">
        <f>'Normal gait variables'!CS29</f>
        <v>#VALUE!</v>
      </c>
      <c r="CS10" t="e">
        <f>'Normal gait variables'!CT29</f>
        <v>#VALUE!</v>
      </c>
      <c r="CT10" t="e">
        <f>'Normal gait variables'!CU29</f>
        <v>#VALUE!</v>
      </c>
      <c r="CU10" t="e">
        <f>'Normal gait variables'!CV29</f>
        <v>#VALUE!</v>
      </c>
      <c r="CV10" t="e">
        <f>'Normal gait variables'!CW29</f>
        <v>#VALUE!</v>
      </c>
      <c r="CW10" t="e">
        <f>'Normal gait variables'!CX29</f>
        <v>#VALUE!</v>
      </c>
      <c r="CX10" t="e">
        <f>'Normal gait variables'!CY29</f>
        <v>#VALUE!</v>
      </c>
      <c r="CY10" t="e">
        <f>'Normal gait variables'!CZ29</f>
        <v>#VALUE!</v>
      </c>
      <c r="CZ10" t="e">
        <f>'Normal gait variables'!DA29</f>
        <v>#VALUE!</v>
      </c>
      <c r="DA10" t="e">
        <f>'Normal gait variables'!DB29</f>
        <v>#VALUE!</v>
      </c>
    </row>
    <row r="11" spans="1:107" x14ac:dyDescent="0.25">
      <c r="A11" t="s">
        <v>0</v>
      </c>
      <c r="B11" t="s">
        <v>5</v>
      </c>
      <c r="C11">
        <v>20</v>
      </c>
      <c r="D11" s="3" t="s">
        <v>2</v>
      </c>
      <c r="E11" t="e">
        <f>'Normal gait variables'!F30</f>
        <v>#VALUE!</v>
      </c>
      <c r="F11" t="e">
        <f>'Normal gait variables'!G30</f>
        <v>#VALUE!</v>
      </c>
      <c r="G11" t="e">
        <f>'Normal gait variables'!H30</f>
        <v>#VALUE!</v>
      </c>
      <c r="H11" t="e">
        <f>'Normal gait variables'!I30</f>
        <v>#VALUE!</v>
      </c>
      <c r="I11" t="e">
        <f>'Normal gait variables'!J30</f>
        <v>#VALUE!</v>
      </c>
      <c r="J11" t="e">
        <f>'Normal gait variables'!K30</f>
        <v>#VALUE!</v>
      </c>
      <c r="K11" t="e">
        <f>'Normal gait variables'!L30</f>
        <v>#VALUE!</v>
      </c>
      <c r="L11" t="e">
        <f>'Normal gait variables'!M30</f>
        <v>#VALUE!</v>
      </c>
      <c r="M11" t="e">
        <f>'Normal gait variables'!N30</f>
        <v>#VALUE!</v>
      </c>
      <c r="N11" t="e">
        <f>'Normal gait variables'!O30</f>
        <v>#VALUE!</v>
      </c>
      <c r="O11" t="e">
        <f>'Normal gait variables'!P30</f>
        <v>#VALUE!</v>
      </c>
      <c r="P11" t="e">
        <f>'Normal gait variables'!Q30</f>
        <v>#VALUE!</v>
      </c>
      <c r="Q11" t="e">
        <f>'Normal gait variables'!R30</f>
        <v>#VALUE!</v>
      </c>
      <c r="R11" t="e">
        <f>'Normal gait variables'!S30</f>
        <v>#VALUE!</v>
      </c>
      <c r="S11" t="e">
        <f>'Normal gait variables'!T30</f>
        <v>#VALUE!</v>
      </c>
      <c r="T11" t="e">
        <f>'Normal gait variables'!U30</f>
        <v>#VALUE!</v>
      </c>
      <c r="U11" t="e">
        <f>'Normal gait variables'!V30</f>
        <v>#VALUE!</v>
      </c>
      <c r="V11" t="e">
        <f>'Normal gait variables'!W30</f>
        <v>#VALUE!</v>
      </c>
      <c r="W11" t="e">
        <f>'Normal gait variables'!X30</f>
        <v>#VALUE!</v>
      </c>
      <c r="X11" t="e">
        <f>'Normal gait variables'!Y30</f>
        <v>#VALUE!</v>
      </c>
      <c r="Y11" t="e">
        <f>'Normal gait variables'!Z30</f>
        <v>#VALUE!</v>
      </c>
      <c r="Z11" t="e">
        <f>'Normal gait variables'!AA30</f>
        <v>#VALUE!</v>
      </c>
      <c r="AA11" t="e">
        <f>'Normal gait variables'!AB30</f>
        <v>#VALUE!</v>
      </c>
      <c r="AB11" t="e">
        <f>'Normal gait variables'!AC30</f>
        <v>#VALUE!</v>
      </c>
      <c r="AC11" t="e">
        <f>'Normal gait variables'!AD30</f>
        <v>#VALUE!</v>
      </c>
      <c r="AD11" t="e">
        <f>'Normal gait variables'!AE30</f>
        <v>#VALUE!</v>
      </c>
      <c r="AE11" t="e">
        <f>'Normal gait variables'!AF30</f>
        <v>#VALUE!</v>
      </c>
      <c r="AF11" t="e">
        <f>'Normal gait variables'!AG30</f>
        <v>#VALUE!</v>
      </c>
      <c r="AG11" t="e">
        <f>'Normal gait variables'!AH30</f>
        <v>#VALUE!</v>
      </c>
      <c r="AH11" t="e">
        <f>'Normal gait variables'!AI30</f>
        <v>#VALUE!</v>
      </c>
      <c r="AI11" t="e">
        <f>'Normal gait variables'!AJ30</f>
        <v>#VALUE!</v>
      </c>
      <c r="AJ11" t="e">
        <f>'Normal gait variables'!AK30</f>
        <v>#VALUE!</v>
      </c>
      <c r="AK11" t="e">
        <f>'Normal gait variables'!AL30</f>
        <v>#VALUE!</v>
      </c>
      <c r="AL11" t="e">
        <f>'Normal gait variables'!AM30</f>
        <v>#VALUE!</v>
      </c>
      <c r="AM11" t="e">
        <f>'Normal gait variables'!AN30</f>
        <v>#VALUE!</v>
      </c>
      <c r="AN11" t="e">
        <f>'Normal gait variables'!AO30</f>
        <v>#VALUE!</v>
      </c>
      <c r="AO11" t="e">
        <f>'Normal gait variables'!AP30</f>
        <v>#VALUE!</v>
      </c>
      <c r="AP11" t="e">
        <f>'Normal gait variables'!AQ30</f>
        <v>#VALUE!</v>
      </c>
      <c r="AQ11" t="e">
        <f>'Normal gait variables'!AR30</f>
        <v>#VALUE!</v>
      </c>
      <c r="AR11" t="e">
        <f>'Normal gait variables'!AS30</f>
        <v>#VALUE!</v>
      </c>
      <c r="AS11" t="e">
        <f>'Normal gait variables'!AT30</f>
        <v>#VALUE!</v>
      </c>
      <c r="AT11" t="e">
        <f>'Normal gait variables'!AU30</f>
        <v>#VALUE!</v>
      </c>
      <c r="AU11" t="e">
        <f>'Normal gait variables'!AV30</f>
        <v>#VALUE!</v>
      </c>
      <c r="AV11" t="e">
        <f>'Normal gait variables'!AW30</f>
        <v>#VALUE!</v>
      </c>
      <c r="AW11" t="e">
        <f>'Normal gait variables'!AX30</f>
        <v>#VALUE!</v>
      </c>
      <c r="AX11" t="e">
        <f>'Normal gait variables'!AY30</f>
        <v>#VALUE!</v>
      </c>
      <c r="AY11" t="e">
        <f>'Normal gait variables'!AZ30</f>
        <v>#VALUE!</v>
      </c>
      <c r="AZ11" t="e">
        <f>'Normal gait variables'!BA30</f>
        <v>#VALUE!</v>
      </c>
      <c r="BA11" t="e">
        <f>'Normal gait variables'!BB30</f>
        <v>#VALUE!</v>
      </c>
      <c r="BB11" t="e">
        <f>'Normal gait variables'!BC30</f>
        <v>#VALUE!</v>
      </c>
      <c r="BC11" t="e">
        <f>'Normal gait variables'!BD30</f>
        <v>#VALUE!</v>
      </c>
      <c r="BD11" t="e">
        <f>'Normal gait variables'!BE30</f>
        <v>#VALUE!</v>
      </c>
      <c r="BE11" t="e">
        <f>'Normal gait variables'!BF30</f>
        <v>#VALUE!</v>
      </c>
      <c r="BF11" t="e">
        <f>'Normal gait variables'!BG30</f>
        <v>#VALUE!</v>
      </c>
      <c r="BG11" t="e">
        <f>'Normal gait variables'!BH30</f>
        <v>#VALUE!</v>
      </c>
      <c r="BH11" t="e">
        <f>'Normal gait variables'!BI30</f>
        <v>#VALUE!</v>
      </c>
      <c r="BI11" t="e">
        <f>'Normal gait variables'!BJ30</f>
        <v>#VALUE!</v>
      </c>
      <c r="BJ11" t="e">
        <f>'Normal gait variables'!BK30</f>
        <v>#VALUE!</v>
      </c>
      <c r="BK11" t="e">
        <f>'Normal gait variables'!BL30</f>
        <v>#VALUE!</v>
      </c>
      <c r="BL11" t="e">
        <f>'Normal gait variables'!BM30</f>
        <v>#VALUE!</v>
      </c>
      <c r="BM11" t="e">
        <f>'Normal gait variables'!BN30</f>
        <v>#VALUE!</v>
      </c>
      <c r="BN11" t="e">
        <f>'Normal gait variables'!BO30</f>
        <v>#VALUE!</v>
      </c>
      <c r="BO11" t="e">
        <f>'Normal gait variables'!BP30</f>
        <v>#VALUE!</v>
      </c>
      <c r="BP11" t="e">
        <f>'Normal gait variables'!BQ30</f>
        <v>#VALUE!</v>
      </c>
      <c r="BQ11" t="e">
        <f>'Normal gait variables'!BR30</f>
        <v>#VALUE!</v>
      </c>
      <c r="BR11" t="e">
        <f>'Normal gait variables'!BS30</f>
        <v>#VALUE!</v>
      </c>
      <c r="BS11" t="e">
        <f>'Normal gait variables'!BT30</f>
        <v>#VALUE!</v>
      </c>
      <c r="BT11" t="e">
        <f>'Normal gait variables'!BU30</f>
        <v>#VALUE!</v>
      </c>
      <c r="BU11" t="e">
        <f>'Normal gait variables'!BV30</f>
        <v>#VALUE!</v>
      </c>
      <c r="BV11" t="e">
        <f>'Normal gait variables'!BW30</f>
        <v>#VALUE!</v>
      </c>
      <c r="BW11" t="e">
        <f>'Normal gait variables'!BX30</f>
        <v>#VALUE!</v>
      </c>
      <c r="BX11" t="e">
        <f>'Normal gait variables'!BY30</f>
        <v>#VALUE!</v>
      </c>
      <c r="BY11" t="e">
        <f>'Normal gait variables'!BZ30</f>
        <v>#VALUE!</v>
      </c>
      <c r="BZ11" t="e">
        <f>'Normal gait variables'!CA30</f>
        <v>#VALUE!</v>
      </c>
      <c r="CA11" t="e">
        <f>'Normal gait variables'!CB30</f>
        <v>#VALUE!</v>
      </c>
      <c r="CB11" t="e">
        <f>'Normal gait variables'!CC30</f>
        <v>#VALUE!</v>
      </c>
      <c r="CC11" t="e">
        <f>'Normal gait variables'!CD30</f>
        <v>#VALUE!</v>
      </c>
      <c r="CD11" t="e">
        <f>'Normal gait variables'!CE30</f>
        <v>#VALUE!</v>
      </c>
      <c r="CE11" t="e">
        <f>'Normal gait variables'!CF30</f>
        <v>#VALUE!</v>
      </c>
      <c r="CF11" t="e">
        <f>'Normal gait variables'!CG30</f>
        <v>#VALUE!</v>
      </c>
      <c r="CG11" t="e">
        <f>'Normal gait variables'!CH30</f>
        <v>#VALUE!</v>
      </c>
      <c r="CH11" t="e">
        <f>'Normal gait variables'!CI30</f>
        <v>#VALUE!</v>
      </c>
      <c r="CI11" t="e">
        <f>'Normal gait variables'!CJ30</f>
        <v>#VALUE!</v>
      </c>
      <c r="CJ11" t="e">
        <f>'Normal gait variables'!CK30</f>
        <v>#VALUE!</v>
      </c>
      <c r="CK11" t="e">
        <f>'Normal gait variables'!CL30</f>
        <v>#VALUE!</v>
      </c>
      <c r="CL11" t="e">
        <f>'Normal gait variables'!CM30</f>
        <v>#VALUE!</v>
      </c>
      <c r="CM11" t="e">
        <f>'Normal gait variables'!CN30</f>
        <v>#VALUE!</v>
      </c>
      <c r="CN11" t="e">
        <f>'Normal gait variables'!CO30</f>
        <v>#VALUE!</v>
      </c>
      <c r="CO11" t="e">
        <f>'Normal gait variables'!CP30</f>
        <v>#VALUE!</v>
      </c>
      <c r="CP11" t="e">
        <f>'Normal gait variables'!CQ30</f>
        <v>#VALUE!</v>
      </c>
      <c r="CQ11" t="e">
        <f>'Normal gait variables'!CR30</f>
        <v>#VALUE!</v>
      </c>
      <c r="CR11" t="e">
        <f>'Normal gait variables'!CS30</f>
        <v>#VALUE!</v>
      </c>
      <c r="CS11" t="e">
        <f>'Normal gait variables'!CT30</f>
        <v>#VALUE!</v>
      </c>
      <c r="CT11" t="e">
        <f>'Normal gait variables'!CU30</f>
        <v>#VALUE!</v>
      </c>
      <c r="CU11" t="e">
        <f>'Normal gait variables'!CV30</f>
        <v>#VALUE!</v>
      </c>
      <c r="CV11" t="e">
        <f>'Normal gait variables'!CW30</f>
        <v>#VALUE!</v>
      </c>
      <c r="CW11" t="e">
        <f>'Normal gait variables'!CX30</f>
        <v>#VALUE!</v>
      </c>
      <c r="CX11" t="e">
        <f>'Normal gait variables'!CY30</f>
        <v>#VALUE!</v>
      </c>
      <c r="CY11" t="e">
        <f>'Normal gait variables'!CZ30</f>
        <v>#VALUE!</v>
      </c>
      <c r="CZ11" t="e">
        <f>'Normal gait variables'!DA30</f>
        <v>#VALUE!</v>
      </c>
      <c r="DA11" t="e">
        <f>'Normal gait variables'!DB30</f>
        <v>#VALUE!</v>
      </c>
    </row>
    <row r="12" spans="1:107" x14ac:dyDescent="0.25">
      <c r="A12" t="s">
        <v>0</v>
      </c>
      <c r="B12" t="s">
        <v>6</v>
      </c>
      <c r="C12">
        <v>20</v>
      </c>
      <c r="D12" s="3" t="s">
        <v>2</v>
      </c>
      <c r="E12" t="e">
        <f>'Normal gait variables'!F31</f>
        <v>#VALUE!</v>
      </c>
      <c r="F12" t="e">
        <f>'Normal gait variables'!G31</f>
        <v>#VALUE!</v>
      </c>
      <c r="G12" t="e">
        <f>'Normal gait variables'!H31</f>
        <v>#VALUE!</v>
      </c>
      <c r="H12" t="e">
        <f>'Normal gait variables'!I31</f>
        <v>#VALUE!</v>
      </c>
      <c r="I12" t="e">
        <f>'Normal gait variables'!J31</f>
        <v>#VALUE!</v>
      </c>
      <c r="J12" t="e">
        <f>'Normal gait variables'!K31</f>
        <v>#VALUE!</v>
      </c>
      <c r="K12" t="e">
        <f>'Normal gait variables'!L31</f>
        <v>#VALUE!</v>
      </c>
      <c r="L12" t="e">
        <f>'Normal gait variables'!M31</f>
        <v>#VALUE!</v>
      </c>
      <c r="M12" t="e">
        <f>'Normal gait variables'!N31</f>
        <v>#VALUE!</v>
      </c>
      <c r="N12" t="e">
        <f>'Normal gait variables'!O31</f>
        <v>#VALUE!</v>
      </c>
      <c r="O12" t="e">
        <f>'Normal gait variables'!P31</f>
        <v>#VALUE!</v>
      </c>
      <c r="P12" t="e">
        <f>'Normal gait variables'!Q31</f>
        <v>#VALUE!</v>
      </c>
      <c r="Q12" t="e">
        <f>'Normal gait variables'!R31</f>
        <v>#VALUE!</v>
      </c>
      <c r="R12" t="e">
        <f>'Normal gait variables'!S31</f>
        <v>#VALUE!</v>
      </c>
      <c r="S12" t="e">
        <f>'Normal gait variables'!T31</f>
        <v>#VALUE!</v>
      </c>
      <c r="T12" t="e">
        <f>'Normal gait variables'!U31</f>
        <v>#VALUE!</v>
      </c>
      <c r="U12" t="e">
        <f>'Normal gait variables'!V31</f>
        <v>#VALUE!</v>
      </c>
      <c r="V12" t="e">
        <f>'Normal gait variables'!W31</f>
        <v>#VALUE!</v>
      </c>
      <c r="W12" t="e">
        <f>'Normal gait variables'!X31</f>
        <v>#VALUE!</v>
      </c>
      <c r="X12" t="e">
        <f>'Normal gait variables'!Y31</f>
        <v>#VALUE!</v>
      </c>
      <c r="Y12" t="e">
        <f>'Normal gait variables'!Z31</f>
        <v>#VALUE!</v>
      </c>
      <c r="Z12" t="e">
        <f>'Normal gait variables'!AA31</f>
        <v>#VALUE!</v>
      </c>
      <c r="AA12" t="e">
        <f>'Normal gait variables'!AB31</f>
        <v>#VALUE!</v>
      </c>
      <c r="AB12" t="e">
        <f>'Normal gait variables'!AC31</f>
        <v>#VALUE!</v>
      </c>
      <c r="AC12" t="e">
        <f>'Normal gait variables'!AD31</f>
        <v>#VALUE!</v>
      </c>
      <c r="AD12" t="e">
        <f>'Normal gait variables'!AE31</f>
        <v>#VALUE!</v>
      </c>
      <c r="AE12" t="e">
        <f>'Normal gait variables'!AF31</f>
        <v>#VALUE!</v>
      </c>
      <c r="AF12" t="e">
        <f>'Normal gait variables'!AG31</f>
        <v>#VALUE!</v>
      </c>
      <c r="AG12" t="e">
        <f>'Normal gait variables'!AH31</f>
        <v>#VALUE!</v>
      </c>
      <c r="AH12" t="e">
        <f>'Normal gait variables'!AI31</f>
        <v>#VALUE!</v>
      </c>
      <c r="AI12" t="e">
        <f>'Normal gait variables'!AJ31</f>
        <v>#VALUE!</v>
      </c>
      <c r="AJ12" t="e">
        <f>'Normal gait variables'!AK31</f>
        <v>#VALUE!</v>
      </c>
      <c r="AK12" t="e">
        <f>'Normal gait variables'!AL31</f>
        <v>#VALUE!</v>
      </c>
      <c r="AL12" t="e">
        <f>'Normal gait variables'!AM31</f>
        <v>#VALUE!</v>
      </c>
      <c r="AM12" t="e">
        <f>'Normal gait variables'!AN31</f>
        <v>#VALUE!</v>
      </c>
      <c r="AN12" t="e">
        <f>'Normal gait variables'!AO31</f>
        <v>#VALUE!</v>
      </c>
      <c r="AO12" t="e">
        <f>'Normal gait variables'!AP31</f>
        <v>#VALUE!</v>
      </c>
      <c r="AP12" t="e">
        <f>'Normal gait variables'!AQ31</f>
        <v>#VALUE!</v>
      </c>
      <c r="AQ12" t="e">
        <f>'Normal gait variables'!AR31</f>
        <v>#VALUE!</v>
      </c>
      <c r="AR12" t="e">
        <f>'Normal gait variables'!AS31</f>
        <v>#VALUE!</v>
      </c>
      <c r="AS12" t="e">
        <f>'Normal gait variables'!AT31</f>
        <v>#VALUE!</v>
      </c>
      <c r="AT12" t="e">
        <f>'Normal gait variables'!AU31</f>
        <v>#VALUE!</v>
      </c>
      <c r="AU12" t="e">
        <f>'Normal gait variables'!AV31</f>
        <v>#VALUE!</v>
      </c>
      <c r="AV12" t="e">
        <f>'Normal gait variables'!AW31</f>
        <v>#VALUE!</v>
      </c>
      <c r="AW12" t="e">
        <f>'Normal gait variables'!AX31</f>
        <v>#VALUE!</v>
      </c>
      <c r="AX12" t="e">
        <f>'Normal gait variables'!AY31</f>
        <v>#VALUE!</v>
      </c>
      <c r="AY12" t="e">
        <f>'Normal gait variables'!AZ31</f>
        <v>#VALUE!</v>
      </c>
      <c r="AZ12" t="e">
        <f>'Normal gait variables'!BA31</f>
        <v>#VALUE!</v>
      </c>
      <c r="BA12" t="e">
        <f>'Normal gait variables'!BB31</f>
        <v>#VALUE!</v>
      </c>
      <c r="BB12" t="e">
        <f>'Normal gait variables'!BC31</f>
        <v>#VALUE!</v>
      </c>
      <c r="BC12" t="e">
        <f>'Normal gait variables'!BD31</f>
        <v>#VALUE!</v>
      </c>
      <c r="BD12" t="e">
        <f>'Normal gait variables'!BE31</f>
        <v>#VALUE!</v>
      </c>
      <c r="BE12" t="e">
        <f>'Normal gait variables'!BF31</f>
        <v>#VALUE!</v>
      </c>
      <c r="BF12" t="e">
        <f>'Normal gait variables'!BG31</f>
        <v>#VALUE!</v>
      </c>
      <c r="BG12" t="e">
        <f>'Normal gait variables'!BH31</f>
        <v>#VALUE!</v>
      </c>
      <c r="BH12" t="e">
        <f>'Normal gait variables'!BI31</f>
        <v>#VALUE!</v>
      </c>
      <c r="BI12" t="e">
        <f>'Normal gait variables'!BJ31</f>
        <v>#VALUE!</v>
      </c>
      <c r="BJ12" t="e">
        <f>'Normal gait variables'!BK31</f>
        <v>#VALUE!</v>
      </c>
      <c r="BK12" t="e">
        <f>'Normal gait variables'!BL31</f>
        <v>#VALUE!</v>
      </c>
      <c r="BL12" t="e">
        <f>'Normal gait variables'!BM31</f>
        <v>#VALUE!</v>
      </c>
      <c r="BM12" t="e">
        <f>'Normal gait variables'!BN31</f>
        <v>#VALUE!</v>
      </c>
      <c r="BN12" t="e">
        <f>'Normal gait variables'!BO31</f>
        <v>#VALUE!</v>
      </c>
      <c r="BO12" t="e">
        <f>'Normal gait variables'!BP31</f>
        <v>#VALUE!</v>
      </c>
      <c r="BP12" t="e">
        <f>'Normal gait variables'!BQ31</f>
        <v>#VALUE!</v>
      </c>
      <c r="BQ12" t="e">
        <f>'Normal gait variables'!BR31</f>
        <v>#VALUE!</v>
      </c>
      <c r="BR12" t="e">
        <f>'Normal gait variables'!BS31</f>
        <v>#VALUE!</v>
      </c>
      <c r="BS12" t="e">
        <f>'Normal gait variables'!BT31</f>
        <v>#VALUE!</v>
      </c>
      <c r="BT12" t="e">
        <f>'Normal gait variables'!BU31</f>
        <v>#VALUE!</v>
      </c>
      <c r="BU12" t="e">
        <f>'Normal gait variables'!BV31</f>
        <v>#VALUE!</v>
      </c>
      <c r="BV12" t="e">
        <f>'Normal gait variables'!BW31</f>
        <v>#VALUE!</v>
      </c>
      <c r="BW12" t="e">
        <f>'Normal gait variables'!BX31</f>
        <v>#VALUE!</v>
      </c>
      <c r="BX12" t="e">
        <f>'Normal gait variables'!BY31</f>
        <v>#VALUE!</v>
      </c>
      <c r="BY12" t="e">
        <f>'Normal gait variables'!BZ31</f>
        <v>#VALUE!</v>
      </c>
      <c r="BZ12" t="e">
        <f>'Normal gait variables'!CA31</f>
        <v>#VALUE!</v>
      </c>
      <c r="CA12" t="e">
        <f>'Normal gait variables'!CB31</f>
        <v>#VALUE!</v>
      </c>
      <c r="CB12" t="e">
        <f>'Normal gait variables'!CC31</f>
        <v>#VALUE!</v>
      </c>
      <c r="CC12" t="e">
        <f>'Normal gait variables'!CD31</f>
        <v>#VALUE!</v>
      </c>
      <c r="CD12" t="e">
        <f>'Normal gait variables'!CE31</f>
        <v>#VALUE!</v>
      </c>
      <c r="CE12" t="e">
        <f>'Normal gait variables'!CF31</f>
        <v>#VALUE!</v>
      </c>
      <c r="CF12" t="e">
        <f>'Normal gait variables'!CG31</f>
        <v>#VALUE!</v>
      </c>
      <c r="CG12" t="e">
        <f>'Normal gait variables'!CH31</f>
        <v>#VALUE!</v>
      </c>
      <c r="CH12" t="e">
        <f>'Normal gait variables'!CI31</f>
        <v>#VALUE!</v>
      </c>
      <c r="CI12" t="e">
        <f>'Normal gait variables'!CJ31</f>
        <v>#VALUE!</v>
      </c>
      <c r="CJ12" t="e">
        <f>'Normal gait variables'!CK31</f>
        <v>#VALUE!</v>
      </c>
      <c r="CK12" t="e">
        <f>'Normal gait variables'!CL31</f>
        <v>#VALUE!</v>
      </c>
      <c r="CL12" t="e">
        <f>'Normal gait variables'!CM31</f>
        <v>#VALUE!</v>
      </c>
      <c r="CM12" t="e">
        <f>'Normal gait variables'!CN31</f>
        <v>#VALUE!</v>
      </c>
      <c r="CN12" t="e">
        <f>'Normal gait variables'!CO31</f>
        <v>#VALUE!</v>
      </c>
      <c r="CO12" t="e">
        <f>'Normal gait variables'!CP31</f>
        <v>#VALUE!</v>
      </c>
      <c r="CP12" t="e">
        <f>'Normal gait variables'!CQ31</f>
        <v>#VALUE!</v>
      </c>
      <c r="CQ12" t="e">
        <f>'Normal gait variables'!CR31</f>
        <v>#VALUE!</v>
      </c>
      <c r="CR12" t="e">
        <f>'Normal gait variables'!CS31</f>
        <v>#VALUE!</v>
      </c>
      <c r="CS12" t="e">
        <f>'Normal gait variables'!CT31</f>
        <v>#VALUE!</v>
      </c>
      <c r="CT12" t="e">
        <f>'Normal gait variables'!CU31</f>
        <v>#VALUE!</v>
      </c>
      <c r="CU12" t="e">
        <f>'Normal gait variables'!CV31</f>
        <v>#VALUE!</v>
      </c>
      <c r="CV12" t="e">
        <f>'Normal gait variables'!CW31</f>
        <v>#VALUE!</v>
      </c>
      <c r="CW12" t="e">
        <f>'Normal gait variables'!CX31</f>
        <v>#VALUE!</v>
      </c>
      <c r="CX12" t="e">
        <f>'Normal gait variables'!CY31</f>
        <v>#VALUE!</v>
      </c>
      <c r="CY12" t="e">
        <f>'Normal gait variables'!CZ31</f>
        <v>#VALUE!</v>
      </c>
      <c r="CZ12" t="e">
        <f>'Normal gait variables'!DA31</f>
        <v>#VALUE!</v>
      </c>
      <c r="DA12" t="e">
        <f>'Normal gait variables'!DB31</f>
        <v>#VALUE!</v>
      </c>
    </row>
    <row r="13" spans="1:107" x14ac:dyDescent="0.25">
      <c r="D13" s="3"/>
    </row>
    <row r="14" spans="1:107" x14ac:dyDescent="0.25">
      <c r="D14" s="3"/>
      <c r="E14" s="43" t="s">
        <v>150</v>
      </c>
      <c r="F14" s="3" t="s">
        <v>141</v>
      </c>
    </row>
    <row r="15" spans="1:107" x14ac:dyDescent="0.25">
      <c r="D15" s="3"/>
    </row>
    <row r="16" spans="1:107" x14ac:dyDescent="0.25">
      <c r="A16" s="19" t="s">
        <v>135</v>
      </c>
      <c r="B16" t="s">
        <v>149</v>
      </c>
      <c r="C16" t="s">
        <v>149</v>
      </c>
      <c r="D16" t="s">
        <v>149</v>
      </c>
      <c r="E16" t="s">
        <v>149</v>
      </c>
      <c r="F16" t="s">
        <v>149</v>
      </c>
      <c r="G16" t="s">
        <v>149</v>
      </c>
      <c r="H16" t="s">
        <v>149</v>
      </c>
      <c r="I16" t="s">
        <v>149</v>
      </c>
      <c r="J16" t="s">
        <v>149</v>
      </c>
      <c r="K16" t="s">
        <v>149</v>
      </c>
      <c r="L16" t="s">
        <v>149</v>
      </c>
      <c r="M16" t="s">
        <v>149</v>
      </c>
      <c r="N16" t="s">
        <v>149</v>
      </c>
      <c r="O16" t="s">
        <v>149</v>
      </c>
      <c r="P16" t="s">
        <v>149</v>
      </c>
      <c r="Q16" t="s">
        <v>149</v>
      </c>
      <c r="R16" t="s">
        <v>149</v>
      </c>
      <c r="S16" t="s">
        <v>149</v>
      </c>
      <c r="T16" t="s">
        <v>149</v>
      </c>
      <c r="U16" t="s">
        <v>149</v>
      </c>
      <c r="V16" t="s">
        <v>149</v>
      </c>
      <c r="W16" t="s">
        <v>149</v>
      </c>
      <c r="X16" t="s">
        <v>149</v>
      </c>
      <c r="Y16" t="s">
        <v>149</v>
      </c>
      <c r="Z16" t="s">
        <v>149</v>
      </c>
      <c r="AA16" t="s">
        <v>149</v>
      </c>
      <c r="AB16" t="s">
        <v>149</v>
      </c>
      <c r="AC16" t="s">
        <v>149</v>
      </c>
      <c r="AD16" t="s">
        <v>149</v>
      </c>
      <c r="AE16" t="s">
        <v>149</v>
      </c>
      <c r="AF16" t="s">
        <v>149</v>
      </c>
      <c r="AG16" t="s">
        <v>149</v>
      </c>
      <c r="AH16" t="s">
        <v>149</v>
      </c>
      <c r="AI16" t="s">
        <v>149</v>
      </c>
      <c r="AJ16" t="s">
        <v>149</v>
      </c>
      <c r="AK16" t="s">
        <v>149</v>
      </c>
      <c r="AL16" t="s">
        <v>149</v>
      </c>
      <c r="AM16" t="s">
        <v>149</v>
      </c>
      <c r="AN16" t="s">
        <v>149</v>
      </c>
      <c r="AO16" t="s">
        <v>149</v>
      </c>
      <c r="AP16" t="s">
        <v>149</v>
      </c>
      <c r="AQ16" t="s">
        <v>149</v>
      </c>
      <c r="AR16" t="s">
        <v>149</v>
      </c>
      <c r="AS16" t="s">
        <v>149</v>
      </c>
      <c r="AT16" t="s">
        <v>149</v>
      </c>
      <c r="AU16" t="s">
        <v>149</v>
      </c>
      <c r="AV16" t="s">
        <v>149</v>
      </c>
      <c r="AW16" t="s">
        <v>149</v>
      </c>
      <c r="AX16" t="s">
        <v>149</v>
      </c>
      <c r="AY16" t="s">
        <v>149</v>
      </c>
      <c r="AZ16" t="s">
        <v>149</v>
      </c>
      <c r="BA16" t="s">
        <v>149</v>
      </c>
      <c r="BB16" t="s">
        <v>149</v>
      </c>
      <c r="BC16" t="s">
        <v>149</v>
      </c>
      <c r="BD16" t="s">
        <v>149</v>
      </c>
      <c r="BE16" t="s">
        <v>149</v>
      </c>
      <c r="BF16" t="s">
        <v>149</v>
      </c>
      <c r="BG16" t="s">
        <v>149</v>
      </c>
      <c r="BH16" t="s">
        <v>149</v>
      </c>
      <c r="BI16" t="s">
        <v>149</v>
      </c>
      <c r="BJ16" t="s">
        <v>149</v>
      </c>
      <c r="BK16" t="s">
        <v>149</v>
      </c>
      <c r="BL16" t="s">
        <v>149</v>
      </c>
      <c r="BM16" t="s">
        <v>149</v>
      </c>
      <c r="BN16" t="s">
        <v>149</v>
      </c>
      <c r="BO16" t="s">
        <v>149</v>
      </c>
      <c r="BP16" t="s">
        <v>149</v>
      </c>
      <c r="BQ16" t="s">
        <v>149</v>
      </c>
      <c r="BR16" t="s">
        <v>149</v>
      </c>
      <c r="BS16" t="s">
        <v>149</v>
      </c>
      <c r="BT16" t="s">
        <v>149</v>
      </c>
      <c r="BU16" t="s">
        <v>149</v>
      </c>
      <c r="BV16" t="s">
        <v>149</v>
      </c>
      <c r="BW16" t="s">
        <v>149</v>
      </c>
      <c r="BX16" t="s">
        <v>149</v>
      </c>
      <c r="BY16" t="s">
        <v>149</v>
      </c>
      <c r="BZ16" t="s">
        <v>149</v>
      </c>
      <c r="CA16" t="s">
        <v>149</v>
      </c>
      <c r="CB16" t="s">
        <v>149</v>
      </c>
      <c r="CC16" t="s">
        <v>149</v>
      </c>
      <c r="CD16" t="s">
        <v>149</v>
      </c>
      <c r="CE16" t="s">
        <v>149</v>
      </c>
      <c r="CF16" t="s">
        <v>149</v>
      </c>
      <c r="CG16" t="s">
        <v>149</v>
      </c>
      <c r="CH16" t="s">
        <v>149</v>
      </c>
      <c r="CI16" t="s">
        <v>149</v>
      </c>
      <c r="CJ16" t="s">
        <v>149</v>
      </c>
      <c r="CK16" t="s">
        <v>149</v>
      </c>
      <c r="CL16" t="s">
        <v>149</v>
      </c>
      <c r="CM16" t="s">
        <v>149</v>
      </c>
      <c r="CN16" t="s">
        <v>149</v>
      </c>
      <c r="CO16" t="s">
        <v>149</v>
      </c>
      <c r="CP16" t="s">
        <v>149</v>
      </c>
      <c r="CQ16" t="s">
        <v>149</v>
      </c>
      <c r="CR16" t="s">
        <v>149</v>
      </c>
      <c r="CS16" t="s">
        <v>149</v>
      </c>
      <c r="CT16" t="s">
        <v>149</v>
      </c>
      <c r="CU16" t="s">
        <v>149</v>
      </c>
      <c r="CV16" t="s">
        <v>149</v>
      </c>
      <c r="CW16" t="s">
        <v>149</v>
      </c>
      <c r="CX16" t="s">
        <v>149</v>
      </c>
      <c r="CY16" t="s">
        <v>149</v>
      </c>
      <c r="CZ16" t="s">
        <v>149</v>
      </c>
      <c r="DA16" t="s">
        <v>149</v>
      </c>
      <c r="DC16" t="s">
        <v>149</v>
      </c>
    </row>
    <row r="17" spans="1:107" x14ac:dyDescent="0.25">
      <c r="A17" t="s">
        <v>149</v>
      </c>
      <c r="B17" t="s">
        <v>149</v>
      </c>
      <c r="C17" t="s">
        <v>149</v>
      </c>
      <c r="D17" t="s">
        <v>149</v>
      </c>
      <c r="E17" t="s">
        <v>149</v>
      </c>
      <c r="F17" t="s">
        <v>149</v>
      </c>
      <c r="G17" t="s">
        <v>149</v>
      </c>
      <c r="H17" t="s">
        <v>149</v>
      </c>
      <c r="I17" t="s">
        <v>149</v>
      </c>
      <c r="J17" t="s">
        <v>149</v>
      </c>
      <c r="K17" t="s">
        <v>149</v>
      </c>
      <c r="L17" t="s">
        <v>149</v>
      </c>
      <c r="M17" t="s">
        <v>149</v>
      </c>
      <c r="N17" t="s">
        <v>149</v>
      </c>
      <c r="O17" t="s">
        <v>149</v>
      </c>
      <c r="P17" t="s">
        <v>149</v>
      </c>
      <c r="Q17" t="s">
        <v>149</v>
      </c>
      <c r="R17" t="s">
        <v>149</v>
      </c>
      <c r="S17" t="s">
        <v>149</v>
      </c>
      <c r="T17" t="s">
        <v>149</v>
      </c>
      <c r="U17" t="s">
        <v>149</v>
      </c>
      <c r="V17" t="s">
        <v>149</v>
      </c>
      <c r="W17" t="s">
        <v>149</v>
      </c>
      <c r="X17" t="s">
        <v>149</v>
      </c>
      <c r="Y17" t="s">
        <v>149</v>
      </c>
      <c r="Z17" t="s">
        <v>149</v>
      </c>
      <c r="AA17" t="s">
        <v>149</v>
      </c>
      <c r="AB17" t="s">
        <v>149</v>
      </c>
      <c r="AC17" t="s">
        <v>149</v>
      </c>
      <c r="AD17" t="s">
        <v>149</v>
      </c>
      <c r="AE17" t="s">
        <v>149</v>
      </c>
      <c r="AF17" t="s">
        <v>149</v>
      </c>
      <c r="AG17" t="s">
        <v>149</v>
      </c>
      <c r="AH17" t="s">
        <v>149</v>
      </c>
      <c r="AI17" t="s">
        <v>149</v>
      </c>
      <c r="AJ17" t="s">
        <v>149</v>
      </c>
      <c r="AK17" t="s">
        <v>149</v>
      </c>
      <c r="AL17" t="s">
        <v>149</v>
      </c>
      <c r="AM17" t="s">
        <v>149</v>
      </c>
      <c r="AN17" t="s">
        <v>149</v>
      </c>
      <c r="AO17" t="s">
        <v>149</v>
      </c>
      <c r="AP17" t="s">
        <v>149</v>
      </c>
      <c r="AQ17" t="s">
        <v>149</v>
      </c>
      <c r="AR17" t="s">
        <v>149</v>
      </c>
      <c r="AS17" t="s">
        <v>149</v>
      </c>
      <c r="AT17" t="s">
        <v>149</v>
      </c>
      <c r="AU17" t="s">
        <v>149</v>
      </c>
      <c r="AV17" t="s">
        <v>149</v>
      </c>
      <c r="AW17" t="s">
        <v>149</v>
      </c>
      <c r="AX17" t="s">
        <v>149</v>
      </c>
      <c r="AY17" t="s">
        <v>149</v>
      </c>
      <c r="AZ17" t="s">
        <v>149</v>
      </c>
      <c r="BA17" t="s">
        <v>149</v>
      </c>
      <c r="BB17" t="s">
        <v>149</v>
      </c>
      <c r="BC17" t="s">
        <v>149</v>
      </c>
      <c r="BD17" t="s">
        <v>149</v>
      </c>
      <c r="BE17" t="s">
        <v>149</v>
      </c>
      <c r="BF17" t="s">
        <v>149</v>
      </c>
      <c r="BG17" t="s">
        <v>149</v>
      </c>
      <c r="BH17" t="s">
        <v>149</v>
      </c>
      <c r="BI17" t="s">
        <v>149</v>
      </c>
      <c r="BJ17" t="s">
        <v>149</v>
      </c>
      <c r="BK17" t="s">
        <v>149</v>
      </c>
      <c r="BL17" t="s">
        <v>149</v>
      </c>
      <c r="BM17" t="s">
        <v>149</v>
      </c>
      <c r="BN17" t="s">
        <v>149</v>
      </c>
      <c r="BO17" t="s">
        <v>149</v>
      </c>
      <c r="BP17" t="s">
        <v>149</v>
      </c>
      <c r="BQ17" t="s">
        <v>149</v>
      </c>
      <c r="BR17" t="s">
        <v>149</v>
      </c>
      <c r="BS17" t="s">
        <v>149</v>
      </c>
      <c r="BT17" t="s">
        <v>149</v>
      </c>
      <c r="BU17" t="s">
        <v>149</v>
      </c>
      <c r="BV17" t="s">
        <v>149</v>
      </c>
      <c r="BW17" t="s">
        <v>149</v>
      </c>
      <c r="BX17" t="s">
        <v>149</v>
      </c>
      <c r="BY17" t="s">
        <v>149</v>
      </c>
      <c r="BZ17" t="s">
        <v>149</v>
      </c>
      <c r="CA17" t="s">
        <v>149</v>
      </c>
      <c r="CB17" t="s">
        <v>149</v>
      </c>
      <c r="CC17" t="s">
        <v>149</v>
      </c>
      <c r="CD17" t="s">
        <v>149</v>
      </c>
      <c r="CE17" t="s">
        <v>149</v>
      </c>
      <c r="CF17" t="s">
        <v>149</v>
      </c>
      <c r="CG17" t="s">
        <v>149</v>
      </c>
      <c r="CH17" t="s">
        <v>149</v>
      </c>
      <c r="CI17" t="s">
        <v>149</v>
      </c>
      <c r="CJ17" t="s">
        <v>149</v>
      </c>
      <c r="CK17" t="s">
        <v>149</v>
      </c>
      <c r="CL17" t="s">
        <v>149</v>
      </c>
      <c r="CM17" t="s">
        <v>149</v>
      </c>
      <c r="CN17" t="s">
        <v>149</v>
      </c>
      <c r="CO17" t="s">
        <v>149</v>
      </c>
      <c r="CP17" t="s">
        <v>149</v>
      </c>
      <c r="CQ17" t="s">
        <v>149</v>
      </c>
      <c r="CR17" t="s">
        <v>149</v>
      </c>
      <c r="CS17" t="s">
        <v>149</v>
      </c>
      <c r="CT17" t="s">
        <v>149</v>
      </c>
      <c r="CU17" t="s">
        <v>149</v>
      </c>
      <c r="CV17" t="s">
        <v>149</v>
      </c>
      <c r="CW17" t="s">
        <v>149</v>
      </c>
      <c r="CX17" t="s">
        <v>149</v>
      </c>
      <c r="CY17" t="s">
        <v>149</v>
      </c>
      <c r="CZ17" t="s">
        <v>149</v>
      </c>
      <c r="DA17" t="s">
        <v>149</v>
      </c>
      <c r="DC17" t="s">
        <v>149</v>
      </c>
    </row>
    <row r="18" spans="1:107" x14ac:dyDescent="0.25">
      <c r="A18" t="s">
        <v>149</v>
      </c>
      <c r="B18" t="s">
        <v>149</v>
      </c>
      <c r="C18" t="s">
        <v>149</v>
      </c>
      <c r="D18" t="s">
        <v>149</v>
      </c>
      <c r="E18" t="s">
        <v>149</v>
      </c>
      <c r="F18" t="s">
        <v>149</v>
      </c>
      <c r="G18" t="s">
        <v>149</v>
      </c>
      <c r="H18" t="s">
        <v>149</v>
      </c>
      <c r="I18" t="s">
        <v>149</v>
      </c>
      <c r="J18" t="s">
        <v>149</v>
      </c>
      <c r="K18" t="s">
        <v>149</v>
      </c>
      <c r="L18" t="s">
        <v>149</v>
      </c>
      <c r="M18" t="s">
        <v>149</v>
      </c>
      <c r="N18" t="s">
        <v>149</v>
      </c>
      <c r="O18" t="s">
        <v>149</v>
      </c>
      <c r="P18" t="s">
        <v>149</v>
      </c>
      <c r="Q18" t="s">
        <v>149</v>
      </c>
      <c r="R18" t="s">
        <v>149</v>
      </c>
      <c r="S18" t="s">
        <v>149</v>
      </c>
      <c r="T18" t="s">
        <v>149</v>
      </c>
      <c r="U18" t="s">
        <v>149</v>
      </c>
      <c r="V18" t="s">
        <v>149</v>
      </c>
      <c r="W18" t="s">
        <v>149</v>
      </c>
      <c r="X18" t="s">
        <v>149</v>
      </c>
      <c r="Y18" t="s">
        <v>149</v>
      </c>
      <c r="Z18" t="s">
        <v>149</v>
      </c>
      <c r="AA18" t="s">
        <v>149</v>
      </c>
      <c r="AB18" t="s">
        <v>149</v>
      </c>
      <c r="AC18" t="s">
        <v>149</v>
      </c>
      <c r="AD18" t="s">
        <v>149</v>
      </c>
      <c r="AE18" t="s">
        <v>149</v>
      </c>
      <c r="AF18" t="s">
        <v>149</v>
      </c>
      <c r="AG18" t="s">
        <v>149</v>
      </c>
      <c r="AH18" t="s">
        <v>149</v>
      </c>
      <c r="AI18" t="s">
        <v>149</v>
      </c>
      <c r="AJ18" t="s">
        <v>149</v>
      </c>
      <c r="AK18" t="s">
        <v>149</v>
      </c>
      <c r="AL18" t="s">
        <v>149</v>
      </c>
      <c r="AM18" t="s">
        <v>149</v>
      </c>
      <c r="AN18" t="s">
        <v>149</v>
      </c>
      <c r="AO18" t="s">
        <v>149</v>
      </c>
      <c r="AP18" t="s">
        <v>149</v>
      </c>
      <c r="AQ18" t="s">
        <v>149</v>
      </c>
      <c r="AR18" t="s">
        <v>149</v>
      </c>
      <c r="AS18" t="s">
        <v>149</v>
      </c>
      <c r="AT18" t="s">
        <v>149</v>
      </c>
      <c r="AU18" t="s">
        <v>149</v>
      </c>
      <c r="AV18" t="s">
        <v>149</v>
      </c>
      <c r="AW18" t="s">
        <v>149</v>
      </c>
      <c r="AX18" t="s">
        <v>149</v>
      </c>
      <c r="AY18" t="s">
        <v>149</v>
      </c>
      <c r="AZ18" t="s">
        <v>149</v>
      </c>
      <c r="BA18" t="s">
        <v>149</v>
      </c>
      <c r="BB18" t="s">
        <v>149</v>
      </c>
      <c r="BC18" t="s">
        <v>149</v>
      </c>
      <c r="BD18" t="s">
        <v>149</v>
      </c>
      <c r="BE18" t="s">
        <v>149</v>
      </c>
      <c r="BF18" t="s">
        <v>149</v>
      </c>
      <c r="BG18" t="s">
        <v>149</v>
      </c>
      <c r="BH18" t="s">
        <v>149</v>
      </c>
      <c r="BI18" t="s">
        <v>149</v>
      </c>
      <c r="BJ18" t="s">
        <v>149</v>
      </c>
      <c r="BK18" t="s">
        <v>149</v>
      </c>
      <c r="BL18" t="s">
        <v>149</v>
      </c>
      <c r="BM18" t="s">
        <v>149</v>
      </c>
      <c r="BN18" t="s">
        <v>149</v>
      </c>
      <c r="BO18" t="s">
        <v>149</v>
      </c>
      <c r="BP18" t="s">
        <v>149</v>
      </c>
      <c r="BQ18" t="s">
        <v>149</v>
      </c>
      <c r="BR18" t="s">
        <v>149</v>
      </c>
      <c r="BS18" t="s">
        <v>149</v>
      </c>
      <c r="BT18" t="s">
        <v>149</v>
      </c>
      <c r="BU18" t="s">
        <v>149</v>
      </c>
      <c r="BV18" t="s">
        <v>149</v>
      </c>
      <c r="BW18" t="s">
        <v>149</v>
      </c>
      <c r="BX18" t="s">
        <v>149</v>
      </c>
      <c r="BY18" t="s">
        <v>149</v>
      </c>
      <c r="BZ18" t="s">
        <v>149</v>
      </c>
      <c r="CA18" t="s">
        <v>149</v>
      </c>
      <c r="CB18" t="s">
        <v>149</v>
      </c>
      <c r="CC18" t="s">
        <v>149</v>
      </c>
      <c r="CD18" t="s">
        <v>149</v>
      </c>
      <c r="CE18" t="s">
        <v>149</v>
      </c>
      <c r="CF18" t="s">
        <v>149</v>
      </c>
      <c r="CG18" t="s">
        <v>149</v>
      </c>
      <c r="CH18" t="s">
        <v>149</v>
      </c>
      <c r="CI18" t="s">
        <v>149</v>
      </c>
      <c r="CJ18" t="s">
        <v>149</v>
      </c>
      <c r="CK18" t="s">
        <v>149</v>
      </c>
      <c r="CL18" t="s">
        <v>149</v>
      </c>
      <c r="CM18" t="s">
        <v>149</v>
      </c>
      <c r="CN18" t="s">
        <v>149</v>
      </c>
      <c r="CO18" t="s">
        <v>149</v>
      </c>
      <c r="CP18" t="s">
        <v>149</v>
      </c>
      <c r="CQ18" t="s">
        <v>149</v>
      </c>
      <c r="CR18" t="s">
        <v>149</v>
      </c>
      <c r="CS18" t="s">
        <v>149</v>
      </c>
      <c r="CT18" t="s">
        <v>149</v>
      </c>
      <c r="CU18" t="s">
        <v>149</v>
      </c>
      <c r="CV18" t="s">
        <v>149</v>
      </c>
      <c r="CW18" t="s">
        <v>149</v>
      </c>
      <c r="CX18" t="s">
        <v>149</v>
      </c>
      <c r="CY18" t="s">
        <v>149</v>
      </c>
      <c r="CZ18" t="s">
        <v>149</v>
      </c>
      <c r="DA18" t="s">
        <v>149</v>
      </c>
      <c r="DC18" t="s">
        <v>149</v>
      </c>
    </row>
    <row r="19" spans="1:107" x14ac:dyDescent="0.25">
      <c r="A19" t="s">
        <v>149</v>
      </c>
      <c r="B19" t="s">
        <v>149</v>
      </c>
      <c r="C19" t="s">
        <v>149</v>
      </c>
      <c r="D19" t="s">
        <v>149</v>
      </c>
      <c r="E19" t="s">
        <v>149</v>
      </c>
      <c r="F19" t="s">
        <v>149</v>
      </c>
      <c r="G19" t="s">
        <v>149</v>
      </c>
      <c r="H19" t="s">
        <v>149</v>
      </c>
      <c r="I19" t="s">
        <v>149</v>
      </c>
      <c r="J19" t="s">
        <v>149</v>
      </c>
      <c r="K19" t="s">
        <v>149</v>
      </c>
      <c r="L19" t="s">
        <v>149</v>
      </c>
      <c r="M19" t="s">
        <v>149</v>
      </c>
      <c r="N19" t="s">
        <v>149</v>
      </c>
      <c r="O19" t="s">
        <v>149</v>
      </c>
      <c r="P19" t="s">
        <v>149</v>
      </c>
      <c r="Q19" t="s">
        <v>149</v>
      </c>
      <c r="R19" t="s">
        <v>149</v>
      </c>
      <c r="S19" t="s">
        <v>149</v>
      </c>
      <c r="T19" t="s">
        <v>149</v>
      </c>
      <c r="U19" t="s">
        <v>149</v>
      </c>
      <c r="V19" t="s">
        <v>149</v>
      </c>
      <c r="W19" t="s">
        <v>149</v>
      </c>
      <c r="X19" t="s">
        <v>149</v>
      </c>
      <c r="Y19" t="s">
        <v>149</v>
      </c>
      <c r="Z19" t="s">
        <v>149</v>
      </c>
      <c r="AA19" t="s">
        <v>149</v>
      </c>
      <c r="AB19" t="s">
        <v>149</v>
      </c>
      <c r="AC19" t="s">
        <v>149</v>
      </c>
      <c r="AD19" t="s">
        <v>149</v>
      </c>
      <c r="AE19" t="s">
        <v>149</v>
      </c>
      <c r="AF19" t="s">
        <v>149</v>
      </c>
      <c r="AG19" t="s">
        <v>149</v>
      </c>
      <c r="AH19" t="s">
        <v>149</v>
      </c>
      <c r="AI19" t="s">
        <v>149</v>
      </c>
      <c r="AJ19" t="s">
        <v>149</v>
      </c>
      <c r="AK19" t="s">
        <v>149</v>
      </c>
      <c r="AL19" t="s">
        <v>149</v>
      </c>
      <c r="AM19" t="s">
        <v>149</v>
      </c>
      <c r="AN19" t="s">
        <v>149</v>
      </c>
      <c r="AO19" t="s">
        <v>149</v>
      </c>
      <c r="AP19" t="s">
        <v>149</v>
      </c>
      <c r="AQ19" t="s">
        <v>149</v>
      </c>
      <c r="AR19" t="s">
        <v>149</v>
      </c>
      <c r="AS19" t="s">
        <v>149</v>
      </c>
      <c r="AT19" t="s">
        <v>149</v>
      </c>
      <c r="AU19" t="s">
        <v>149</v>
      </c>
      <c r="AV19" t="s">
        <v>149</v>
      </c>
      <c r="AW19" t="s">
        <v>149</v>
      </c>
      <c r="AX19" t="s">
        <v>149</v>
      </c>
      <c r="AY19" t="s">
        <v>149</v>
      </c>
      <c r="AZ19" t="s">
        <v>149</v>
      </c>
      <c r="BA19" t="s">
        <v>149</v>
      </c>
      <c r="BB19" t="s">
        <v>149</v>
      </c>
      <c r="BC19" t="s">
        <v>149</v>
      </c>
      <c r="BD19" t="s">
        <v>149</v>
      </c>
      <c r="BE19" t="s">
        <v>149</v>
      </c>
      <c r="BF19" t="s">
        <v>149</v>
      </c>
      <c r="BG19" t="s">
        <v>149</v>
      </c>
      <c r="BH19" t="s">
        <v>149</v>
      </c>
      <c r="BI19" t="s">
        <v>149</v>
      </c>
      <c r="BJ19" t="s">
        <v>149</v>
      </c>
      <c r="BK19" t="s">
        <v>149</v>
      </c>
      <c r="BL19" t="s">
        <v>149</v>
      </c>
      <c r="BM19" t="s">
        <v>149</v>
      </c>
      <c r="BN19" t="s">
        <v>149</v>
      </c>
      <c r="BO19" t="s">
        <v>149</v>
      </c>
      <c r="BP19" t="s">
        <v>149</v>
      </c>
      <c r="BQ19" t="s">
        <v>149</v>
      </c>
      <c r="BR19" t="s">
        <v>149</v>
      </c>
      <c r="BS19" t="s">
        <v>149</v>
      </c>
      <c r="BT19" t="s">
        <v>149</v>
      </c>
      <c r="BU19" t="s">
        <v>149</v>
      </c>
      <c r="BV19" t="s">
        <v>149</v>
      </c>
      <c r="BW19" t="s">
        <v>149</v>
      </c>
      <c r="BX19" t="s">
        <v>149</v>
      </c>
      <c r="BY19" t="s">
        <v>149</v>
      </c>
      <c r="BZ19" t="s">
        <v>149</v>
      </c>
      <c r="CA19" t="s">
        <v>149</v>
      </c>
      <c r="CB19" t="s">
        <v>149</v>
      </c>
      <c r="CC19" t="s">
        <v>149</v>
      </c>
      <c r="CD19" t="s">
        <v>149</v>
      </c>
      <c r="CE19" t="s">
        <v>149</v>
      </c>
      <c r="CF19" t="s">
        <v>149</v>
      </c>
      <c r="CG19" t="s">
        <v>149</v>
      </c>
      <c r="CH19" t="s">
        <v>149</v>
      </c>
      <c r="CI19" t="s">
        <v>149</v>
      </c>
      <c r="CJ19" t="s">
        <v>149</v>
      </c>
      <c r="CK19" t="s">
        <v>149</v>
      </c>
      <c r="CL19" t="s">
        <v>149</v>
      </c>
      <c r="CM19" t="s">
        <v>149</v>
      </c>
      <c r="CN19" t="s">
        <v>149</v>
      </c>
      <c r="CO19" t="s">
        <v>149</v>
      </c>
      <c r="CP19" t="s">
        <v>149</v>
      </c>
      <c r="CQ19" t="s">
        <v>149</v>
      </c>
      <c r="CR19" t="s">
        <v>149</v>
      </c>
      <c r="CS19" t="s">
        <v>149</v>
      </c>
      <c r="CT19" t="s">
        <v>149</v>
      </c>
      <c r="CU19" t="s">
        <v>149</v>
      </c>
      <c r="CV19" t="s">
        <v>149</v>
      </c>
      <c r="CW19" t="s">
        <v>149</v>
      </c>
      <c r="CX19" t="s">
        <v>149</v>
      </c>
      <c r="CY19" t="s">
        <v>149</v>
      </c>
      <c r="CZ19" t="s">
        <v>149</v>
      </c>
      <c r="DA19" t="s">
        <v>149</v>
      </c>
      <c r="DC19" t="s">
        <v>149</v>
      </c>
    </row>
    <row r="20" spans="1:107" x14ac:dyDescent="0.25">
      <c r="A20" t="s">
        <v>149</v>
      </c>
      <c r="B20" t="s">
        <v>149</v>
      </c>
      <c r="C20" t="s">
        <v>149</v>
      </c>
      <c r="D20" t="s">
        <v>149</v>
      </c>
      <c r="E20" t="s">
        <v>149</v>
      </c>
      <c r="F20" t="s">
        <v>149</v>
      </c>
      <c r="G20" t="s">
        <v>149</v>
      </c>
      <c r="H20" t="s">
        <v>149</v>
      </c>
      <c r="I20" t="s">
        <v>149</v>
      </c>
      <c r="J20" t="s">
        <v>149</v>
      </c>
      <c r="K20" t="s">
        <v>149</v>
      </c>
      <c r="L20" t="s">
        <v>149</v>
      </c>
      <c r="M20" t="s">
        <v>149</v>
      </c>
      <c r="N20" t="s">
        <v>149</v>
      </c>
      <c r="O20" t="s">
        <v>149</v>
      </c>
      <c r="P20" t="s">
        <v>149</v>
      </c>
      <c r="Q20" t="s">
        <v>149</v>
      </c>
      <c r="R20" t="s">
        <v>149</v>
      </c>
      <c r="S20" t="s">
        <v>149</v>
      </c>
      <c r="T20" t="s">
        <v>149</v>
      </c>
      <c r="U20" t="s">
        <v>149</v>
      </c>
      <c r="V20" t="s">
        <v>149</v>
      </c>
      <c r="W20" t="s">
        <v>149</v>
      </c>
      <c r="X20" t="s">
        <v>149</v>
      </c>
      <c r="Y20" t="s">
        <v>149</v>
      </c>
      <c r="Z20" t="s">
        <v>149</v>
      </c>
      <c r="AA20" t="s">
        <v>149</v>
      </c>
      <c r="AB20" t="s">
        <v>149</v>
      </c>
      <c r="AC20" t="s">
        <v>149</v>
      </c>
      <c r="AD20" t="s">
        <v>149</v>
      </c>
      <c r="AE20" t="s">
        <v>149</v>
      </c>
      <c r="AF20" t="s">
        <v>149</v>
      </c>
      <c r="AG20" t="s">
        <v>149</v>
      </c>
      <c r="AH20" t="s">
        <v>149</v>
      </c>
      <c r="AI20" t="s">
        <v>149</v>
      </c>
      <c r="AJ20" t="s">
        <v>149</v>
      </c>
      <c r="AK20" t="s">
        <v>149</v>
      </c>
      <c r="AL20" t="s">
        <v>149</v>
      </c>
      <c r="AM20" t="s">
        <v>149</v>
      </c>
      <c r="AN20" t="s">
        <v>149</v>
      </c>
      <c r="AO20" t="s">
        <v>149</v>
      </c>
      <c r="AP20" t="s">
        <v>149</v>
      </c>
      <c r="AQ20" t="s">
        <v>149</v>
      </c>
      <c r="AR20" t="s">
        <v>149</v>
      </c>
      <c r="AS20" t="s">
        <v>149</v>
      </c>
      <c r="AT20" t="s">
        <v>149</v>
      </c>
      <c r="AU20" t="s">
        <v>149</v>
      </c>
      <c r="AV20" t="s">
        <v>149</v>
      </c>
      <c r="AW20" t="s">
        <v>149</v>
      </c>
      <c r="AX20" t="s">
        <v>149</v>
      </c>
      <c r="AY20" t="s">
        <v>149</v>
      </c>
      <c r="AZ20" t="s">
        <v>149</v>
      </c>
      <c r="BA20" t="s">
        <v>149</v>
      </c>
      <c r="BB20" t="s">
        <v>149</v>
      </c>
      <c r="BC20" t="s">
        <v>149</v>
      </c>
      <c r="BD20" t="s">
        <v>149</v>
      </c>
      <c r="BE20" t="s">
        <v>149</v>
      </c>
      <c r="BF20" t="s">
        <v>149</v>
      </c>
      <c r="BG20" t="s">
        <v>149</v>
      </c>
      <c r="BH20" t="s">
        <v>149</v>
      </c>
      <c r="BI20" t="s">
        <v>149</v>
      </c>
      <c r="BJ20" t="s">
        <v>149</v>
      </c>
      <c r="BK20" t="s">
        <v>149</v>
      </c>
      <c r="BL20" t="s">
        <v>149</v>
      </c>
      <c r="BM20" t="s">
        <v>149</v>
      </c>
      <c r="BN20" t="s">
        <v>149</v>
      </c>
      <c r="BO20" t="s">
        <v>149</v>
      </c>
      <c r="BP20" t="s">
        <v>149</v>
      </c>
      <c r="BQ20" t="s">
        <v>149</v>
      </c>
      <c r="BR20" t="s">
        <v>149</v>
      </c>
      <c r="BS20" t="s">
        <v>149</v>
      </c>
      <c r="BT20" t="s">
        <v>149</v>
      </c>
      <c r="BU20" t="s">
        <v>149</v>
      </c>
      <c r="BV20" t="s">
        <v>149</v>
      </c>
      <c r="BW20" t="s">
        <v>149</v>
      </c>
      <c r="BX20" t="s">
        <v>149</v>
      </c>
      <c r="BY20" t="s">
        <v>149</v>
      </c>
      <c r="BZ20" t="s">
        <v>149</v>
      </c>
      <c r="CA20" t="s">
        <v>149</v>
      </c>
      <c r="CB20" t="s">
        <v>149</v>
      </c>
      <c r="CC20" t="s">
        <v>149</v>
      </c>
      <c r="CD20" t="s">
        <v>149</v>
      </c>
      <c r="CE20" t="s">
        <v>149</v>
      </c>
      <c r="CF20" t="s">
        <v>149</v>
      </c>
      <c r="CG20" t="s">
        <v>149</v>
      </c>
      <c r="CH20" t="s">
        <v>149</v>
      </c>
      <c r="CI20" t="s">
        <v>149</v>
      </c>
      <c r="CJ20" t="s">
        <v>149</v>
      </c>
      <c r="CK20" t="s">
        <v>149</v>
      </c>
      <c r="CL20" t="s">
        <v>149</v>
      </c>
      <c r="CM20" t="s">
        <v>149</v>
      </c>
      <c r="CN20" t="s">
        <v>149</v>
      </c>
      <c r="CO20" t="s">
        <v>149</v>
      </c>
      <c r="CP20" t="s">
        <v>149</v>
      </c>
      <c r="CQ20" t="s">
        <v>149</v>
      </c>
      <c r="CR20" t="s">
        <v>149</v>
      </c>
      <c r="CS20" t="s">
        <v>149</v>
      </c>
      <c r="CT20" t="s">
        <v>149</v>
      </c>
      <c r="CU20" t="s">
        <v>149</v>
      </c>
      <c r="CV20" t="s">
        <v>149</v>
      </c>
      <c r="CW20" t="s">
        <v>149</v>
      </c>
      <c r="CX20" t="s">
        <v>149</v>
      </c>
      <c r="CY20" t="s">
        <v>149</v>
      </c>
      <c r="CZ20" t="s">
        <v>149</v>
      </c>
      <c r="DA20" t="s">
        <v>149</v>
      </c>
      <c r="DC20" t="s">
        <v>149</v>
      </c>
    </row>
    <row r="21" spans="1:107" x14ac:dyDescent="0.25">
      <c r="A21" t="s">
        <v>149</v>
      </c>
      <c r="B21" t="s">
        <v>149</v>
      </c>
      <c r="C21" t="s">
        <v>149</v>
      </c>
      <c r="D21" t="s">
        <v>149</v>
      </c>
      <c r="E21" t="s">
        <v>149</v>
      </c>
      <c r="F21" t="s">
        <v>149</v>
      </c>
      <c r="G21" t="s">
        <v>149</v>
      </c>
      <c r="H21" t="s">
        <v>149</v>
      </c>
      <c r="I21" t="s">
        <v>149</v>
      </c>
      <c r="J21" t="s">
        <v>149</v>
      </c>
      <c r="K21" t="s">
        <v>149</v>
      </c>
      <c r="L21" t="s">
        <v>149</v>
      </c>
      <c r="M21" t="s">
        <v>149</v>
      </c>
      <c r="N21" t="s">
        <v>149</v>
      </c>
      <c r="O21" t="s">
        <v>149</v>
      </c>
      <c r="P21" t="s">
        <v>149</v>
      </c>
      <c r="Q21" t="s">
        <v>149</v>
      </c>
      <c r="R21" t="s">
        <v>149</v>
      </c>
      <c r="S21" t="s">
        <v>149</v>
      </c>
      <c r="T21" t="s">
        <v>149</v>
      </c>
      <c r="U21" t="s">
        <v>149</v>
      </c>
      <c r="V21" t="s">
        <v>149</v>
      </c>
      <c r="W21" t="s">
        <v>149</v>
      </c>
      <c r="X21" t="s">
        <v>149</v>
      </c>
      <c r="Y21" t="s">
        <v>149</v>
      </c>
      <c r="Z21" t="s">
        <v>149</v>
      </c>
      <c r="AA21" t="s">
        <v>149</v>
      </c>
      <c r="AB21" t="s">
        <v>149</v>
      </c>
      <c r="AC21" t="s">
        <v>149</v>
      </c>
      <c r="AD21" t="s">
        <v>149</v>
      </c>
      <c r="AE21" t="s">
        <v>149</v>
      </c>
      <c r="AF21" t="s">
        <v>149</v>
      </c>
      <c r="AG21" t="s">
        <v>149</v>
      </c>
      <c r="AH21" t="s">
        <v>149</v>
      </c>
      <c r="AI21" t="s">
        <v>149</v>
      </c>
      <c r="AJ21" t="s">
        <v>149</v>
      </c>
      <c r="AK21" t="s">
        <v>149</v>
      </c>
      <c r="AL21" t="s">
        <v>149</v>
      </c>
      <c r="AM21" t="s">
        <v>149</v>
      </c>
      <c r="AN21" t="s">
        <v>149</v>
      </c>
      <c r="AO21" t="s">
        <v>149</v>
      </c>
      <c r="AP21" t="s">
        <v>149</v>
      </c>
      <c r="AQ21" t="s">
        <v>149</v>
      </c>
      <c r="AR21" t="s">
        <v>149</v>
      </c>
      <c r="AS21" t="s">
        <v>149</v>
      </c>
      <c r="AT21" t="s">
        <v>149</v>
      </c>
      <c r="AU21" t="s">
        <v>149</v>
      </c>
      <c r="AV21" t="s">
        <v>149</v>
      </c>
      <c r="AW21" t="s">
        <v>149</v>
      </c>
      <c r="AX21" t="s">
        <v>149</v>
      </c>
      <c r="AY21" t="s">
        <v>149</v>
      </c>
      <c r="AZ21" t="s">
        <v>149</v>
      </c>
      <c r="BA21" t="s">
        <v>149</v>
      </c>
      <c r="BB21" t="s">
        <v>149</v>
      </c>
      <c r="BC21" t="s">
        <v>149</v>
      </c>
      <c r="BD21" t="s">
        <v>149</v>
      </c>
      <c r="BE21" t="s">
        <v>149</v>
      </c>
      <c r="BF21" t="s">
        <v>149</v>
      </c>
      <c r="BG21" t="s">
        <v>149</v>
      </c>
      <c r="BH21" t="s">
        <v>149</v>
      </c>
      <c r="BI21" t="s">
        <v>149</v>
      </c>
      <c r="BJ21" t="s">
        <v>149</v>
      </c>
      <c r="BK21" t="s">
        <v>149</v>
      </c>
      <c r="BL21" t="s">
        <v>149</v>
      </c>
      <c r="BM21" t="s">
        <v>149</v>
      </c>
      <c r="BN21" t="s">
        <v>149</v>
      </c>
      <c r="BO21" t="s">
        <v>149</v>
      </c>
      <c r="BP21" t="s">
        <v>149</v>
      </c>
      <c r="BQ21" t="s">
        <v>149</v>
      </c>
      <c r="BR21" t="s">
        <v>149</v>
      </c>
      <c r="BS21" t="s">
        <v>149</v>
      </c>
      <c r="BT21" t="s">
        <v>149</v>
      </c>
      <c r="BU21" t="s">
        <v>149</v>
      </c>
      <c r="BV21" t="s">
        <v>149</v>
      </c>
      <c r="BW21" t="s">
        <v>149</v>
      </c>
      <c r="BX21" t="s">
        <v>149</v>
      </c>
      <c r="BY21" t="s">
        <v>149</v>
      </c>
      <c r="BZ21" t="s">
        <v>149</v>
      </c>
      <c r="CA21" t="s">
        <v>149</v>
      </c>
      <c r="CB21" t="s">
        <v>149</v>
      </c>
      <c r="CC21" t="s">
        <v>149</v>
      </c>
      <c r="CD21" t="s">
        <v>149</v>
      </c>
      <c r="CE21" t="s">
        <v>149</v>
      </c>
      <c r="CF21" t="s">
        <v>149</v>
      </c>
      <c r="CG21" t="s">
        <v>149</v>
      </c>
      <c r="CH21" t="s">
        <v>149</v>
      </c>
      <c r="CI21" t="s">
        <v>149</v>
      </c>
      <c r="CJ21" t="s">
        <v>149</v>
      </c>
      <c r="CK21" t="s">
        <v>149</v>
      </c>
      <c r="CL21" t="s">
        <v>149</v>
      </c>
      <c r="CM21" t="s">
        <v>149</v>
      </c>
      <c r="CN21" t="s">
        <v>149</v>
      </c>
      <c r="CO21" t="s">
        <v>149</v>
      </c>
      <c r="CP21" t="s">
        <v>149</v>
      </c>
      <c r="CQ21" t="s">
        <v>149</v>
      </c>
      <c r="CR21" t="s">
        <v>149</v>
      </c>
      <c r="CS21" t="s">
        <v>149</v>
      </c>
      <c r="CT21" t="s">
        <v>149</v>
      </c>
      <c r="CU21" t="s">
        <v>149</v>
      </c>
      <c r="CV21" t="s">
        <v>149</v>
      </c>
      <c r="CW21" t="s">
        <v>149</v>
      </c>
      <c r="CX21" t="s">
        <v>149</v>
      </c>
      <c r="CY21" t="s">
        <v>149</v>
      </c>
      <c r="CZ21" t="s">
        <v>149</v>
      </c>
      <c r="DA21" t="s">
        <v>149</v>
      </c>
      <c r="DC21" t="s">
        <v>149</v>
      </c>
    </row>
    <row r="22" spans="1:107" x14ac:dyDescent="0.25">
      <c r="A22" t="s">
        <v>149</v>
      </c>
      <c r="B22" t="s">
        <v>149</v>
      </c>
      <c r="C22" t="s">
        <v>149</v>
      </c>
      <c r="D22" t="s">
        <v>149</v>
      </c>
      <c r="E22" t="s">
        <v>149</v>
      </c>
      <c r="F22" t="s">
        <v>149</v>
      </c>
      <c r="G22" t="s">
        <v>149</v>
      </c>
      <c r="H22" t="s">
        <v>149</v>
      </c>
      <c r="I22" t="s">
        <v>149</v>
      </c>
      <c r="J22" t="s">
        <v>149</v>
      </c>
      <c r="K22" t="s">
        <v>149</v>
      </c>
      <c r="L22" t="s">
        <v>149</v>
      </c>
      <c r="M22" t="s">
        <v>149</v>
      </c>
      <c r="N22" t="s">
        <v>149</v>
      </c>
      <c r="O22" t="s">
        <v>149</v>
      </c>
      <c r="P22" t="s">
        <v>149</v>
      </c>
      <c r="Q22" t="s">
        <v>149</v>
      </c>
      <c r="R22" t="s">
        <v>149</v>
      </c>
      <c r="S22" t="s">
        <v>149</v>
      </c>
      <c r="T22" t="s">
        <v>149</v>
      </c>
      <c r="U22" t="s">
        <v>149</v>
      </c>
      <c r="V22" t="s">
        <v>149</v>
      </c>
      <c r="W22" t="s">
        <v>149</v>
      </c>
      <c r="X22" t="s">
        <v>149</v>
      </c>
      <c r="Y22" t="s">
        <v>149</v>
      </c>
      <c r="Z22" t="s">
        <v>149</v>
      </c>
      <c r="AA22" t="s">
        <v>149</v>
      </c>
      <c r="AB22" t="s">
        <v>149</v>
      </c>
      <c r="AC22" t="s">
        <v>149</v>
      </c>
      <c r="AD22" t="s">
        <v>149</v>
      </c>
      <c r="AE22" t="s">
        <v>149</v>
      </c>
      <c r="AF22" t="s">
        <v>149</v>
      </c>
      <c r="AG22" t="s">
        <v>149</v>
      </c>
      <c r="AH22" t="s">
        <v>149</v>
      </c>
      <c r="AI22" t="s">
        <v>149</v>
      </c>
      <c r="AJ22" t="s">
        <v>149</v>
      </c>
      <c r="AK22" t="s">
        <v>149</v>
      </c>
      <c r="AL22" t="s">
        <v>149</v>
      </c>
      <c r="AM22" t="s">
        <v>149</v>
      </c>
      <c r="AN22" t="s">
        <v>149</v>
      </c>
      <c r="AO22" t="s">
        <v>149</v>
      </c>
      <c r="AP22" t="s">
        <v>149</v>
      </c>
      <c r="AQ22" t="s">
        <v>149</v>
      </c>
      <c r="AR22" t="s">
        <v>149</v>
      </c>
      <c r="AS22" t="s">
        <v>149</v>
      </c>
      <c r="AT22" t="s">
        <v>149</v>
      </c>
      <c r="AU22" t="s">
        <v>149</v>
      </c>
      <c r="AV22" t="s">
        <v>149</v>
      </c>
      <c r="AW22" t="s">
        <v>149</v>
      </c>
      <c r="AX22" t="s">
        <v>149</v>
      </c>
      <c r="AY22" t="s">
        <v>149</v>
      </c>
      <c r="AZ22" t="s">
        <v>149</v>
      </c>
      <c r="BA22" t="s">
        <v>149</v>
      </c>
      <c r="BB22" t="s">
        <v>149</v>
      </c>
      <c r="BC22" t="s">
        <v>149</v>
      </c>
      <c r="BD22" t="s">
        <v>149</v>
      </c>
      <c r="BE22" t="s">
        <v>149</v>
      </c>
      <c r="BF22" t="s">
        <v>149</v>
      </c>
      <c r="BG22" t="s">
        <v>149</v>
      </c>
      <c r="BH22" t="s">
        <v>149</v>
      </c>
      <c r="BI22" t="s">
        <v>149</v>
      </c>
      <c r="BJ22" t="s">
        <v>149</v>
      </c>
      <c r="BK22" t="s">
        <v>149</v>
      </c>
      <c r="BL22" t="s">
        <v>149</v>
      </c>
      <c r="BM22" t="s">
        <v>149</v>
      </c>
      <c r="BN22" t="s">
        <v>149</v>
      </c>
      <c r="BO22" t="s">
        <v>149</v>
      </c>
      <c r="BP22" t="s">
        <v>149</v>
      </c>
      <c r="BQ22" t="s">
        <v>149</v>
      </c>
      <c r="BR22" t="s">
        <v>149</v>
      </c>
      <c r="BS22" t="s">
        <v>149</v>
      </c>
      <c r="BT22" t="s">
        <v>149</v>
      </c>
      <c r="BU22" t="s">
        <v>149</v>
      </c>
      <c r="BV22" t="s">
        <v>149</v>
      </c>
      <c r="BW22" t="s">
        <v>149</v>
      </c>
      <c r="BX22" t="s">
        <v>149</v>
      </c>
      <c r="BY22" t="s">
        <v>149</v>
      </c>
      <c r="BZ22" t="s">
        <v>149</v>
      </c>
      <c r="CA22" t="s">
        <v>149</v>
      </c>
      <c r="CB22" t="s">
        <v>149</v>
      </c>
      <c r="CC22" t="s">
        <v>149</v>
      </c>
      <c r="CD22" t="s">
        <v>149</v>
      </c>
      <c r="CE22" t="s">
        <v>149</v>
      </c>
      <c r="CF22" t="s">
        <v>149</v>
      </c>
      <c r="CG22" t="s">
        <v>149</v>
      </c>
      <c r="CH22" t="s">
        <v>149</v>
      </c>
      <c r="CI22" t="s">
        <v>149</v>
      </c>
      <c r="CJ22" t="s">
        <v>149</v>
      </c>
      <c r="CK22" t="s">
        <v>149</v>
      </c>
      <c r="CL22" t="s">
        <v>149</v>
      </c>
      <c r="CM22" t="s">
        <v>149</v>
      </c>
      <c r="CN22" t="s">
        <v>149</v>
      </c>
      <c r="CO22" t="s">
        <v>149</v>
      </c>
      <c r="CP22" t="s">
        <v>149</v>
      </c>
      <c r="CQ22" t="s">
        <v>149</v>
      </c>
      <c r="CR22" t="s">
        <v>149</v>
      </c>
      <c r="CS22" t="s">
        <v>149</v>
      </c>
      <c r="CT22" t="s">
        <v>149</v>
      </c>
      <c r="CU22" t="s">
        <v>149</v>
      </c>
      <c r="CV22" t="s">
        <v>149</v>
      </c>
      <c r="CW22" t="s">
        <v>149</v>
      </c>
      <c r="CX22" t="s">
        <v>149</v>
      </c>
      <c r="CY22" t="s">
        <v>149</v>
      </c>
      <c r="CZ22" t="s">
        <v>149</v>
      </c>
      <c r="DA22" t="s">
        <v>149</v>
      </c>
      <c r="DC22" t="s">
        <v>149</v>
      </c>
    </row>
    <row r="23" spans="1:107" x14ac:dyDescent="0.25">
      <c r="A23" t="s">
        <v>149</v>
      </c>
      <c r="B23" t="s">
        <v>149</v>
      </c>
      <c r="C23" t="s">
        <v>149</v>
      </c>
      <c r="D23" t="s">
        <v>149</v>
      </c>
      <c r="E23" t="s">
        <v>149</v>
      </c>
      <c r="F23" t="s">
        <v>149</v>
      </c>
      <c r="G23" t="s">
        <v>149</v>
      </c>
      <c r="H23" t="s">
        <v>149</v>
      </c>
      <c r="I23" t="s">
        <v>149</v>
      </c>
      <c r="J23" t="s">
        <v>149</v>
      </c>
      <c r="K23" t="s">
        <v>149</v>
      </c>
      <c r="L23" t="s">
        <v>149</v>
      </c>
      <c r="M23" t="s">
        <v>149</v>
      </c>
      <c r="N23" t="s">
        <v>149</v>
      </c>
      <c r="O23" t="s">
        <v>149</v>
      </c>
      <c r="P23" t="s">
        <v>149</v>
      </c>
      <c r="Q23" t="s">
        <v>149</v>
      </c>
      <c r="R23" t="s">
        <v>149</v>
      </c>
      <c r="S23" t="s">
        <v>149</v>
      </c>
      <c r="T23" t="s">
        <v>149</v>
      </c>
      <c r="U23" t="s">
        <v>149</v>
      </c>
      <c r="V23" t="s">
        <v>149</v>
      </c>
      <c r="W23" t="s">
        <v>149</v>
      </c>
      <c r="X23" t="s">
        <v>149</v>
      </c>
      <c r="Y23" t="s">
        <v>149</v>
      </c>
      <c r="Z23" t="s">
        <v>149</v>
      </c>
      <c r="AA23" t="s">
        <v>149</v>
      </c>
      <c r="AB23" t="s">
        <v>149</v>
      </c>
      <c r="AC23" t="s">
        <v>149</v>
      </c>
      <c r="AD23" t="s">
        <v>149</v>
      </c>
      <c r="AE23" t="s">
        <v>149</v>
      </c>
      <c r="AF23" t="s">
        <v>149</v>
      </c>
      <c r="AG23" t="s">
        <v>149</v>
      </c>
      <c r="AH23" t="s">
        <v>149</v>
      </c>
      <c r="AI23" t="s">
        <v>149</v>
      </c>
      <c r="AJ23" t="s">
        <v>149</v>
      </c>
      <c r="AK23" t="s">
        <v>149</v>
      </c>
      <c r="AL23" t="s">
        <v>149</v>
      </c>
      <c r="AM23" t="s">
        <v>149</v>
      </c>
      <c r="AN23" t="s">
        <v>149</v>
      </c>
      <c r="AO23" t="s">
        <v>149</v>
      </c>
      <c r="AP23" t="s">
        <v>149</v>
      </c>
      <c r="AQ23" t="s">
        <v>149</v>
      </c>
      <c r="AR23" t="s">
        <v>149</v>
      </c>
      <c r="AS23" t="s">
        <v>149</v>
      </c>
      <c r="AT23" t="s">
        <v>149</v>
      </c>
      <c r="AU23" t="s">
        <v>149</v>
      </c>
      <c r="AV23" t="s">
        <v>149</v>
      </c>
      <c r="AW23" t="s">
        <v>149</v>
      </c>
      <c r="AX23" t="s">
        <v>149</v>
      </c>
      <c r="AY23" t="s">
        <v>149</v>
      </c>
      <c r="AZ23" t="s">
        <v>149</v>
      </c>
      <c r="BA23" t="s">
        <v>149</v>
      </c>
      <c r="BB23" t="s">
        <v>149</v>
      </c>
      <c r="BC23" t="s">
        <v>149</v>
      </c>
      <c r="BD23" t="s">
        <v>149</v>
      </c>
      <c r="BE23" t="s">
        <v>149</v>
      </c>
      <c r="BF23" t="s">
        <v>149</v>
      </c>
      <c r="BG23" t="s">
        <v>149</v>
      </c>
      <c r="BH23" t="s">
        <v>149</v>
      </c>
      <c r="BI23" t="s">
        <v>149</v>
      </c>
      <c r="BJ23" t="s">
        <v>149</v>
      </c>
      <c r="BK23" t="s">
        <v>149</v>
      </c>
      <c r="BL23" t="s">
        <v>149</v>
      </c>
      <c r="BM23" t="s">
        <v>149</v>
      </c>
      <c r="BN23" t="s">
        <v>149</v>
      </c>
      <c r="BO23" t="s">
        <v>149</v>
      </c>
      <c r="BP23" t="s">
        <v>149</v>
      </c>
      <c r="BQ23" t="s">
        <v>149</v>
      </c>
      <c r="BR23" t="s">
        <v>149</v>
      </c>
      <c r="BS23" t="s">
        <v>149</v>
      </c>
      <c r="BT23" t="s">
        <v>149</v>
      </c>
      <c r="BU23" t="s">
        <v>149</v>
      </c>
      <c r="BV23" t="s">
        <v>149</v>
      </c>
      <c r="BW23" t="s">
        <v>149</v>
      </c>
      <c r="BX23" t="s">
        <v>149</v>
      </c>
      <c r="BY23" t="s">
        <v>149</v>
      </c>
      <c r="BZ23" t="s">
        <v>149</v>
      </c>
      <c r="CA23" t="s">
        <v>149</v>
      </c>
      <c r="CB23" t="s">
        <v>149</v>
      </c>
      <c r="CC23" t="s">
        <v>149</v>
      </c>
      <c r="CD23" t="s">
        <v>149</v>
      </c>
      <c r="CE23" t="s">
        <v>149</v>
      </c>
      <c r="CF23" t="s">
        <v>149</v>
      </c>
      <c r="CG23" t="s">
        <v>149</v>
      </c>
      <c r="CH23" t="s">
        <v>149</v>
      </c>
      <c r="CI23" t="s">
        <v>149</v>
      </c>
      <c r="CJ23" t="s">
        <v>149</v>
      </c>
      <c r="CK23" t="s">
        <v>149</v>
      </c>
      <c r="CL23" t="s">
        <v>149</v>
      </c>
      <c r="CM23" t="s">
        <v>149</v>
      </c>
      <c r="CN23" t="s">
        <v>149</v>
      </c>
      <c r="CO23" t="s">
        <v>149</v>
      </c>
      <c r="CP23" t="s">
        <v>149</v>
      </c>
      <c r="CQ23" t="s">
        <v>149</v>
      </c>
      <c r="CR23" t="s">
        <v>149</v>
      </c>
      <c r="CS23" t="s">
        <v>149</v>
      </c>
      <c r="CT23" t="s">
        <v>149</v>
      </c>
      <c r="CU23" t="s">
        <v>149</v>
      </c>
      <c r="CV23" t="s">
        <v>149</v>
      </c>
      <c r="CW23" t="s">
        <v>149</v>
      </c>
      <c r="CX23" t="s">
        <v>149</v>
      </c>
      <c r="CY23" t="s">
        <v>149</v>
      </c>
      <c r="CZ23" t="s">
        <v>149</v>
      </c>
      <c r="DA23" t="s">
        <v>149</v>
      </c>
      <c r="DC23" t="s">
        <v>149</v>
      </c>
    </row>
    <row r="24" spans="1:107" x14ac:dyDescent="0.25">
      <c r="A24" t="s">
        <v>149</v>
      </c>
      <c r="B24" t="s">
        <v>149</v>
      </c>
      <c r="C24" t="s">
        <v>149</v>
      </c>
      <c r="D24" t="s">
        <v>149</v>
      </c>
      <c r="E24" t="s">
        <v>149</v>
      </c>
      <c r="F24" t="s">
        <v>149</v>
      </c>
      <c r="G24" t="s">
        <v>149</v>
      </c>
      <c r="H24" t="s">
        <v>149</v>
      </c>
      <c r="I24" t="s">
        <v>149</v>
      </c>
      <c r="J24" t="s">
        <v>149</v>
      </c>
      <c r="K24" t="s">
        <v>149</v>
      </c>
      <c r="L24" t="s">
        <v>149</v>
      </c>
      <c r="M24" t="s">
        <v>149</v>
      </c>
      <c r="N24" t="s">
        <v>149</v>
      </c>
      <c r="O24" t="s">
        <v>149</v>
      </c>
      <c r="P24" t="s">
        <v>149</v>
      </c>
      <c r="Q24" t="s">
        <v>149</v>
      </c>
      <c r="R24" t="s">
        <v>149</v>
      </c>
      <c r="S24" t="s">
        <v>149</v>
      </c>
      <c r="T24" t="s">
        <v>149</v>
      </c>
      <c r="U24" t="s">
        <v>149</v>
      </c>
      <c r="V24" t="s">
        <v>149</v>
      </c>
      <c r="W24" t="s">
        <v>149</v>
      </c>
      <c r="X24" t="s">
        <v>149</v>
      </c>
      <c r="Y24" t="s">
        <v>149</v>
      </c>
      <c r="Z24" t="s">
        <v>149</v>
      </c>
      <c r="AA24" t="s">
        <v>149</v>
      </c>
      <c r="AB24" t="s">
        <v>149</v>
      </c>
      <c r="AC24" t="s">
        <v>149</v>
      </c>
      <c r="AD24" t="s">
        <v>149</v>
      </c>
      <c r="AE24" t="s">
        <v>149</v>
      </c>
      <c r="AF24" t="s">
        <v>149</v>
      </c>
      <c r="AG24" t="s">
        <v>149</v>
      </c>
      <c r="AH24" t="s">
        <v>149</v>
      </c>
      <c r="AI24" t="s">
        <v>149</v>
      </c>
      <c r="AJ24" t="s">
        <v>149</v>
      </c>
      <c r="AK24" t="s">
        <v>149</v>
      </c>
      <c r="AL24" t="s">
        <v>149</v>
      </c>
      <c r="AM24" t="s">
        <v>149</v>
      </c>
      <c r="AN24" t="s">
        <v>149</v>
      </c>
      <c r="AO24" t="s">
        <v>149</v>
      </c>
      <c r="AP24" t="s">
        <v>149</v>
      </c>
      <c r="AQ24" t="s">
        <v>149</v>
      </c>
      <c r="AR24" t="s">
        <v>149</v>
      </c>
      <c r="AS24" t="s">
        <v>149</v>
      </c>
      <c r="AT24" t="s">
        <v>149</v>
      </c>
      <c r="AU24" t="s">
        <v>149</v>
      </c>
      <c r="AV24" t="s">
        <v>149</v>
      </c>
      <c r="AW24" t="s">
        <v>149</v>
      </c>
      <c r="AX24" t="s">
        <v>149</v>
      </c>
      <c r="AY24" t="s">
        <v>149</v>
      </c>
      <c r="AZ24" t="s">
        <v>149</v>
      </c>
      <c r="BA24" t="s">
        <v>149</v>
      </c>
      <c r="BB24" t="s">
        <v>149</v>
      </c>
      <c r="BC24" t="s">
        <v>149</v>
      </c>
      <c r="BD24" t="s">
        <v>149</v>
      </c>
      <c r="BE24" t="s">
        <v>149</v>
      </c>
      <c r="BF24" t="s">
        <v>149</v>
      </c>
      <c r="BG24" t="s">
        <v>149</v>
      </c>
      <c r="BH24" t="s">
        <v>149</v>
      </c>
      <c r="BI24" t="s">
        <v>149</v>
      </c>
      <c r="BJ24" t="s">
        <v>149</v>
      </c>
      <c r="BK24" t="s">
        <v>149</v>
      </c>
      <c r="BL24" t="s">
        <v>149</v>
      </c>
      <c r="BM24" t="s">
        <v>149</v>
      </c>
      <c r="BN24" t="s">
        <v>149</v>
      </c>
      <c r="BO24" t="s">
        <v>149</v>
      </c>
      <c r="BP24" t="s">
        <v>149</v>
      </c>
      <c r="BQ24" t="s">
        <v>149</v>
      </c>
      <c r="BR24" t="s">
        <v>149</v>
      </c>
      <c r="BS24" t="s">
        <v>149</v>
      </c>
      <c r="BT24" t="s">
        <v>149</v>
      </c>
      <c r="BU24" t="s">
        <v>149</v>
      </c>
      <c r="BV24" t="s">
        <v>149</v>
      </c>
      <c r="BW24" t="s">
        <v>149</v>
      </c>
      <c r="BX24" t="s">
        <v>149</v>
      </c>
      <c r="BY24" t="s">
        <v>149</v>
      </c>
      <c r="BZ24" t="s">
        <v>149</v>
      </c>
      <c r="CA24" t="s">
        <v>149</v>
      </c>
      <c r="CB24" t="s">
        <v>149</v>
      </c>
      <c r="CC24" t="s">
        <v>149</v>
      </c>
      <c r="CD24" t="s">
        <v>149</v>
      </c>
      <c r="CE24" t="s">
        <v>149</v>
      </c>
      <c r="CF24" t="s">
        <v>149</v>
      </c>
      <c r="CG24" t="s">
        <v>149</v>
      </c>
      <c r="CH24" t="s">
        <v>149</v>
      </c>
      <c r="CI24" t="s">
        <v>149</v>
      </c>
      <c r="CJ24" t="s">
        <v>149</v>
      </c>
      <c r="CK24" t="s">
        <v>149</v>
      </c>
      <c r="CL24" t="s">
        <v>149</v>
      </c>
      <c r="CM24" t="s">
        <v>149</v>
      </c>
      <c r="CN24" t="s">
        <v>149</v>
      </c>
      <c r="CO24" t="s">
        <v>149</v>
      </c>
      <c r="CP24" t="s">
        <v>149</v>
      </c>
      <c r="CQ24" t="s">
        <v>149</v>
      </c>
      <c r="CR24" t="s">
        <v>149</v>
      </c>
      <c r="CS24" t="s">
        <v>149</v>
      </c>
      <c r="CT24" t="s">
        <v>149</v>
      </c>
      <c r="CU24" t="s">
        <v>149</v>
      </c>
      <c r="CV24" t="s">
        <v>149</v>
      </c>
      <c r="CW24" t="s">
        <v>149</v>
      </c>
      <c r="CX24" t="s">
        <v>149</v>
      </c>
      <c r="CY24" t="s">
        <v>149</v>
      </c>
      <c r="CZ24" t="s">
        <v>149</v>
      </c>
      <c r="DA24" t="s">
        <v>149</v>
      </c>
      <c r="DC24" t="s">
        <v>149</v>
      </c>
    </row>
    <row r="25" spans="1:107" x14ac:dyDescent="0.25">
      <c r="A25" t="s">
        <v>149</v>
      </c>
      <c r="B25" t="s">
        <v>149</v>
      </c>
      <c r="C25" t="s">
        <v>149</v>
      </c>
      <c r="D25" t="s">
        <v>149</v>
      </c>
      <c r="E25" t="s">
        <v>149</v>
      </c>
      <c r="F25" t="s">
        <v>149</v>
      </c>
      <c r="G25" t="s">
        <v>149</v>
      </c>
      <c r="H25" t="s">
        <v>149</v>
      </c>
      <c r="I25" t="s">
        <v>149</v>
      </c>
      <c r="J25" t="s">
        <v>149</v>
      </c>
      <c r="K25" t="s">
        <v>149</v>
      </c>
      <c r="L25" t="s">
        <v>149</v>
      </c>
      <c r="M25" t="s">
        <v>149</v>
      </c>
      <c r="N25" t="s">
        <v>149</v>
      </c>
      <c r="O25" t="s">
        <v>149</v>
      </c>
      <c r="P25" t="s">
        <v>149</v>
      </c>
      <c r="Q25" t="s">
        <v>149</v>
      </c>
      <c r="R25" t="s">
        <v>149</v>
      </c>
      <c r="S25" t="s">
        <v>149</v>
      </c>
      <c r="T25" t="s">
        <v>149</v>
      </c>
      <c r="U25" t="s">
        <v>149</v>
      </c>
      <c r="V25" t="s">
        <v>149</v>
      </c>
      <c r="W25" t="s">
        <v>149</v>
      </c>
      <c r="X25" t="s">
        <v>149</v>
      </c>
      <c r="Y25" t="s">
        <v>149</v>
      </c>
      <c r="Z25" t="s">
        <v>149</v>
      </c>
      <c r="AA25" t="s">
        <v>149</v>
      </c>
      <c r="AB25" t="s">
        <v>149</v>
      </c>
      <c r="AC25" t="s">
        <v>149</v>
      </c>
      <c r="AD25" t="s">
        <v>149</v>
      </c>
      <c r="AE25" t="s">
        <v>149</v>
      </c>
      <c r="AF25" t="s">
        <v>149</v>
      </c>
      <c r="AG25" t="s">
        <v>149</v>
      </c>
      <c r="AH25" t="s">
        <v>149</v>
      </c>
      <c r="AI25" t="s">
        <v>149</v>
      </c>
      <c r="AJ25" t="s">
        <v>149</v>
      </c>
      <c r="AK25" t="s">
        <v>149</v>
      </c>
      <c r="AL25" t="s">
        <v>149</v>
      </c>
      <c r="AM25" t="s">
        <v>149</v>
      </c>
      <c r="AN25" t="s">
        <v>149</v>
      </c>
      <c r="AO25" t="s">
        <v>149</v>
      </c>
      <c r="AP25" t="s">
        <v>149</v>
      </c>
      <c r="AQ25" t="s">
        <v>149</v>
      </c>
      <c r="AR25" t="s">
        <v>149</v>
      </c>
      <c r="AS25" t="s">
        <v>149</v>
      </c>
      <c r="AT25" t="s">
        <v>149</v>
      </c>
      <c r="AU25" t="s">
        <v>149</v>
      </c>
      <c r="AV25" t="s">
        <v>149</v>
      </c>
      <c r="AW25" t="s">
        <v>149</v>
      </c>
      <c r="AX25" t="s">
        <v>149</v>
      </c>
      <c r="AY25" t="s">
        <v>149</v>
      </c>
      <c r="AZ25" t="s">
        <v>149</v>
      </c>
      <c r="BA25" t="s">
        <v>149</v>
      </c>
      <c r="BB25" t="s">
        <v>149</v>
      </c>
      <c r="BC25" t="s">
        <v>149</v>
      </c>
      <c r="BD25" t="s">
        <v>149</v>
      </c>
      <c r="BE25" t="s">
        <v>149</v>
      </c>
      <c r="BF25" t="s">
        <v>149</v>
      </c>
      <c r="BG25" t="s">
        <v>149</v>
      </c>
      <c r="BH25" t="s">
        <v>149</v>
      </c>
      <c r="BI25" t="s">
        <v>149</v>
      </c>
      <c r="BJ25" t="s">
        <v>149</v>
      </c>
      <c r="BK25" t="s">
        <v>149</v>
      </c>
      <c r="BL25" t="s">
        <v>149</v>
      </c>
      <c r="BM25" t="s">
        <v>149</v>
      </c>
      <c r="BN25" t="s">
        <v>149</v>
      </c>
      <c r="BO25" t="s">
        <v>149</v>
      </c>
      <c r="BP25" t="s">
        <v>149</v>
      </c>
      <c r="BQ25" t="s">
        <v>149</v>
      </c>
      <c r="BR25" t="s">
        <v>149</v>
      </c>
      <c r="BS25" t="s">
        <v>149</v>
      </c>
      <c r="BT25" t="s">
        <v>149</v>
      </c>
      <c r="BU25" t="s">
        <v>149</v>
      </c>
      <c r="BV25" t="s">
        <v>149</v>
      </c>
      <c r="BW25" t="s">
        <v>149</v>
      </c>
      <c r="BX25" t="s">
        <v>149</v>
      </c>
      <c r="BY25" t="s">
        <v>149</v>
      </c>
      <c r="BZ25" t="s">
        <v>149</v>
      </c>
      <c r="CA25" t="s">
        <v>149</v>
      </c>
      <c r="CB25" t="s">
        <v>149</v>
      </c>
      <c r="CC25" t="s">
        <v>149</v>
      </c>
      <c r="CD25" t="s">
        <v>149</v>
      </c>
      <c r="CE25" t="s">
        <v>149</v>
      </c>
      <c r="CF25" t="s">
        <v>149</v>
      </c>
      <c r="CG25" t="s">
        <v>149</v>
      </c>
      <c r="CH25" t="s">
        <v>149</v>
      </c>
      <c r="CI25" t="s">
        <v>149</v>
      </c>
      <c r="CJ25" t="s">
        <v>149</v>
      </c>
      <c r="CK25" t="s">
        <v>149</v>
      </c>
      <c r="CL25" t="s">
        <v>149</v>
      </c>
      <c r="CM25" t="s">
        <v>149</v>
      </c>
      <c r="CN25" t="s">
        <v>149</v>
      </c>
      <c r="CO25" t="s">
        <v>149</v>
      </c>
      <c r="CP25" t="s">
        <v>149</v>
      </c>
      <c r="CQ25" t="s">
        <v>149</v>
      </c>
      <c r="CR25" t="s">
        <v>149</v>
      </c>
      <c r="CS25" t="s">
        <v>149</v>
      </c>
      <c r="CT25" t="s">
        <v>149</v>
      </c>
      <c r="CU25" t="s">
        <v>149</v>
      </c>
      <c r="CV25" t="s">
        <v>149</v>
      </c>
      <c r="CW25" t="s">
        <v>149</v>
      </c>
      <c r="CX25" t="s">
        <v>149</v>
      </c>
      <c r="CY25" t="s">
        <v>149</v>
      </c>
      <c r="CZ25" t="s">
        <v>149</v>
      </c>
      <c r="DA25" t="s">
        <v>149</v>
      </c>
      <c r="DC25" t="s">
        <v>149</v>
      </c>
    </row>
    <row r="26" spans="1:107" x14ac:dyDescent="0.25">
      <c r="A26" t="s">
        <v>149</v>
      </c>
      <c r="B26" t="s">
        <v>149</v>
      </c>
      <c r="C26" t="s">
        <v>149</v>
      </c>
      <c r="D26" t="s">
        <v>149</v>
      </c>
      <c r="E26" t="s">
        <v>149</v>
      </c>
      <c r="F26" t="s">
        <v>149</v>
      </c>
      <c r="G26" t="s">
        <v>149</v>
      </c>
      <c r="H26" t="s">
        <v>149</v>
      </c>
      <c r="I26" t="s">
        <v>149</v>
      </c>
      <c r="J26" t="s">
        <v>149</v>
      </c>
      <c r="K26" t="s">
        <v>149</v>
      </c>
      <c r="L26" t="s">
        <v>149</v>
      </c>
      <c r="M26" t="s">
        <v>149</v>
      </c>
      <c r="N26" t="s">
        <v>149</v>
      </c>
      <c r="O26" t="s">
        <v>149</v>
      </c>
      <c r="P26" t="s">
        <v>149</v>
      </c>
      <c r="Q26" t="s">
        <v>149</v>
      </c>
      <c r="R26" t="s">
        <v>149</v>
      </c>
      <c r="S26" t="s">
        <v>149</v>
      </c>
      <c r="T26" t="s">
        <v>149</v>
      </c>
      <c r="U26" t="s">
        <v>149</v>
      </c>
      <c r="V26" t="s">
        <v>149</v>
      </c>
      <c r="W26" t="s">
        <v>149</v>
      </c>
      <c r="X26" t="s">
        <v>149</v>
      </c>
      <c r="Y26" t="s">
        <v>149</v>
      </c>
      <c r="Z26" t="s">
        <v>149</v>
      </c>
      <c r="AA26" t="s">
        <v>149</v>
      </c>
      <c r="AB26" t="s">
        <v>149</v>
      </c>
      <c r="AC26" t="s">
        <v>149</v>
      </c>
      <c r="AD26" t="s">
        <v>149</v>
      </c>
      <c r="AE26" t="s">
        <v>149</v>
      </c>
      <c r="AF26" t="s">
        <v>149</v>
      </c>
      <c r="AG26" t="s">
        <v>149</v>
      </c>
      <c r="AH26" t="s">
        <v>149</v>
      </c>
      <c r="AI26" t="s">
        <v>149</v>
      </c>
      <c r="AJ26" t="s">
        <v>149</v>
      </c>
      <c r="AK26" t="s">
        <v>149</v>
      </c>
      <c r="AL26" t="s">
        <v>149</v>
      </c>
      <c r="AM26" t="s">
        <v>149</v>
      </c>
      <c r="AN26" t="s">
        <v>149</v>
      </c>
      <c r="AO26" t="s">
        <v>149</v>
      </c>
      <c r="AP26" t="s">
        <v>149</v>
      </c>
      <c r="AQ26" t="s">
        <v>149</v>
      </c>
      <c r="AR26" t="s">
        <v>149</v>
      </c>
      <c r="AS26" t="s">
        <v>149</v>
      </c>
      <c r="AT26" t="s">
        <v>149</v>
      </c>
      <c r="AU26" t="s">
        <v>149</v>
      </c>
      <c r="AV26" t="s">
        <v>149</v>
      </c>
      <c r="AW26" t="s">
        <v>149</v>
      </c>
      <c r="AX26" t="s">
        <v>149</v>
      </c>
      <c r="AY26" t="s">
        <v>149</v>
      </c>
      <c r="AZ26" t="s">
        <v>149</v>
      </c>
      <c r="BA26" t="s">
        <v>149</v>
      </c>
      <c r="BB26" t="s">
        <v>149</v>
      </c>
      <c r="BC26" t="s">
        <v>149</v>
      </c>
      <c r="BD26" t="s">
        <v>149</v>
      </c>
      <c r="BE26" t="s">
        <v>149</v>
      </c>
      <c r="BF26" t="s">
        <v>149</v>
      </c>
      <c r="BG26" t="s">
        <v>149</v>
      </c>
      <c r="BH26" t="s">
        <v>149</v>
      </c>
      <c r="BI26" t="s">
        <v>149</v>
      </c>
      <c r="BJ26" t="s">
        <v>149</v>
      </c>
      <c r="BK26" t="s">
        <v>149</v>
      </c>
      <c r="BL26" t="s">
        <v>149</v>
      </c>
      <c r="BM26" t="s">
        <v>149</v>
      </c>
      <c r="BN26" t="s">
        <v>149</v>
      </c>
      <c r="BO26" t="s">
        <v>149</v>
      </c>
      <c r="BP26" t="s">
        <v>149</v>
      </c>
      <c r="BQ26" t="s">
        <v>149</v>
      </c>
      <c r="BR26" t="s">
        <v>149</v>
      </c>
      <c r="BS26" t="s">
        <v>149</v>
      </c>
      <c r="BT26" t="s">
        <v>149</v>
      </c>
      <c r="BU26" t="s">
        <v>149</v>
      </c>
      <c r="BV26" t="s">
        <v>149</v>
      </c>
      <c r="BW26" t="s">
        <v>149</v>
      </c>
      <c r="BX26" t="s">
        <v>149</v>
      </c>
      <c r="BY26" t="s">
        <v>149</v>
      </c>
      <c r="BZ26" t="s">
        <v>149</v>
      </c>
      <c r="CA26" t="s">
        <v>149</v>
      </c>
      <c r="CB26" t="s">
        <v>149</v>
      </c>
      <c r="CC26" t="s">
        <v>149</v>
      </c>
      <c r="CD26" t="s">
        <v>149</v>
      </c>
      <c r="CE26" t="s">
        <v>149</v>
      </c>
      <c r="CF26" t="s">
        <v>149</v>
      </c>
      <c r="CG26" t="s">
        <v>149</v>
      </c>
      <c r="CH26" t="s">
        <v>149</v>
      </c>
      <c r="CI26" t="s">
        <v>149</v>
      </c>
      <c r="CJ26" t="s">
        <v>149</v>
      </c>
      <c r="CK26" t="s">
        <v>149</v>
      </c>
      <c r="CL26" t="s">
        <v>149</v>
      </c>
      <c r="CM26" t="s">
        <v>149</v>
      </c>
      <c r="CN26" t="s">
        <v>149</v>
      </c>
      <c r="CO26" t="s">
        <v>149</v>
      </c>
      <c r="CP26" t="s">
        <v>149</v>
      </c>
      <c r="CQ26" t="s">
        <v>149</v>
      </c>
      <c r="CR26" t="s">
        <v>149</v>
      </c>
      <c r="CS26" t="s">
        <v>149</v>
      </c>
      <c r="CT26" t="s">
        <v>149</v>
      </c>
      <c r="CU26" t="s">
        <v>149</v>
      </c>
      <c r="CV26" t="s">
        <v>149</v>
      </c>
      <c r="CW26" t="s">
        <v>149</v>
      </c>
      <c r="CX26" t="s">
        <v>149</v>
      </c>
      <c r="CY26" t="s">
        <v>149</v>
      </c>
      <c r="CZ26" t="s">
        <v>149</v>
      </c>
      <c r="DA26" t="s">
        <v>149</v>
      </c>
      <c r="DC26" t="s">
        <v>149</v>
      </c>
    </row>
    <row r="27" spans="1:107" x14ac:dyDescent="0.25">
      <c r="A27" t="s">
        <v>149</v>
      </c>
      <c r="B27" t="s">
        <v>149</v>
      </c>
      <c r="C27" t="s">
        <v>149</v>
      </c>
      <c r="D27" t="s">
        <v>149</v>
      </c>
      <c r="E27" t="s">
        <v>149</v>
      </c>
      <c r="F27" t="s">
        <v>149</v>
      </c>
      <c r="G27" t="s">
        <v>149</v>
      </c>
      <c r="H27" t="s">
        <v>149</v>
      </c>
      <c r="I27" t="s">
        <v>149</v>
      </c>
      <c r="J27" t="s">
        <v>149</v>
      </c>
      <c r="K27" t="s">
        <v>149</v>
      </c>
      <c r="L27" t="s">
        <v>149</v>
      </c>
      <c r="M27" t="s">
        <v>149</v>
      </c>
      <c r="N27" t="s">
        <v>149</v>
      </c>
      <c r="O27" t="s">
        <v>149</v>
      </c>
      <c r="P27" t="s">
        <v>149</v>
      </c>
      <c r="Q27" t="s">
        <v>149</v>
      </c>
      <c r="R27" t="s">
        <v>149</v>
      </c>
      <c r="S27" t="s">
        <v>149</v>
      </c>
      <c r="T27" t="s">
        <v>149</v>
      </c>
      <c r="U27" t="s">
        <v>149</v>
      </c>
      <c r="V27" t="s">
        <v>149</v>
      </c>
      <c r="W27" t="s">
        <v>149</v>
      </c>
      <c r="X27" t="s">
        <v>149</v>
      </c>
      <c r="Y27" t="s">
        <v>149</v>
      </c>
      <c r="Z27" t="s">
        <v>149</v>
      </c>
      <c r="AA27" t="s">
        <v>149</v>
      </c>
      <c r="AB27" t="s">
        <v>149</v>
      </c>
      <c r="AC27" t="s">
        <v>149</v>
      </c>
      <c r="AD27" t="s">
        <v>149</v>
      </c>
      <c r="AE27" t="s">
        <v>149</v>
      </c>
      <c r="AF27" t="s">
        <v>149</v>
      </c>
      <c r="AG27" t="s">
        <v>149</v>
      </c>
      <c r="AH27" t="s">
        <v>149</v>
      </c>
      <c r="AI27" t="s">
        <v>149</v>
      </c>
      <c r="AJ27" t="s">
        <v>149</v>
      </c>
      <c r="AK27" t="s">
        <v>149</v>
      </c>
      <c r="AL27" t="s">
        <v>149</v>
      </c>
      <c r="AM27" t="s">
        <v>149</v>
      </c>
      <c r="AN27" t="s">
        <v>149</v>
      </c>
      <c r="AO27" t="s">
        <v>149</v>
      </c>
      <c r="AP27" t="s">
        <v>149</v>
      </c>
      <c r="AQ27" t="s">
        <v>149</v>
      </c>
      <c r="AR27" t="s">
        <v>149</v>
      </c>
      <c r="AS27" t="s">
        <v>149</v>
      </c>
      <c r="AT27" t="s">
        <v>149</v>
      </c>
      <c r="AU27" t="s">
        <v>149</v>
      </c>
      <c r="AV27" t="s">
        <v>149</v>
      </c>
      <c r="AW27" t="s">
        <v>149</v>
      </c>
      <c r="AX27" t="s">
        <v>149</v>
      </c>
      <c r="AY27" t="s">
        <v>149</v>
      </c>
      <c r="AZ27" t="s">
        <v>149</v>
      </c>
      <c r="BA27" t="s">
        <v>149</v>
      </c>
      <c r="BB27" t="s">
        <v>149</v>
      </c>
      <c r="BC27" t="s">
        <v>149</v>
      </c>
      <c r="BD27" t="s">
        <v>149</v>
      </c>
      <c r="BE27" t="s">
        <v>149</v>
      </c>
      <c r="BF27" t="s">
        <v>149</v>
      </c>
      <c r="BG27" t="s">
        <v>149</v>
      </c>
      <c r="BH27" t="s">
        <v>149</v>
      </c>
      <c r="BI27" t="s">
        <v>149</v>
      </c>
      <c r="BJ27" t="s">
        <v>149</v>
      </c>
      <c r="BK27" t="s">
        <v>149</v>
      </c>
      <c r="BL27" t="s">
        <v>149</v>
      </c>
      <c r="BM27" t="s">
        <v>149</v>
      </c>
      <c r="BN27" t="s">
        <v>149</v>
      </c>
      <c r="BO27" t="s">
        <v>149</v>
      </c>
      <c r="BP27" t="s">
        <v>149</v>
      </c>
      <c r="BQ27" t="s">
        <v>149</v>
      </c>
      <c r="BR27" t="s">
        <v>149</v>
      </c>
      <c r="BS27" t="s">
        <v>149</v>
      </c>
      <c r="BT27" t="s">
        <v>149</v>
      </c>
      <c r="BU27" t="s">
        <v>149</v>
      </c>
      <c r="BV27" t="s">
        <v>149</v>
      </c>
      <c r="BW27" t="s">
        <v>149</v>
      </c>
      <c r="BX27" t="s">
        <v>149</v>
      </c>
      <c r="BY27" t="s">
        <v>149</v>
      </c>
      <c r="BZ27" t="s">
        <v>149</v>
      </c>
      <c r="CA27" t="s">
        <v>149</v>
      </c>
      <c r="CB27" t="s">
        <v>149</v>
      </c>
      <c r="CC27" t="s">
        <v>149</v>
      </c>
      <c r="CD27" t="s">
        <v>149</v>
      </c>
      <c r="CE27" t="s">
        <v>149</v>
      </c>
      <c r="CF27" t="s">
        <v>149</v>
      </c>
      <c r="CG27" t="s">
        <v>149</v>
      </c>
      <c r="CH27" t="s">
        <v>149</v>
      </c>
      <c r="CI27" t="s">
        <v>149</v>
      </c>
      <c r="CJ27" t="s">
        <v>149</v>
      </c>
      <c r="CK27" t="s">
        <v>149</v>
      </c>
      <c r="CL27" t="s">
        <v>149</v>
      </c>
      <c r="CM27" t="s">
        <v>149</v>
      </c>
      <c r="CN27" t="s">
        <v>149</v>
      </c>
      <c r="CO27" t="s">
        <v>149</v>
      </c>
      <c r="CP27" t="s">
        <v>149</v>
      </c>
      <c r="CQ27" t="s">
        <v>149</v>
      </c>
      <c r="CR27" t="s">
        <v>149</v>
      </c>
      <c r="CS27" t="s">
        <v>149</v>
      </c>
      <c r="CT27" t="s">
        <v>149</v>
      </c>
      <c r="CU27" t="s">
        <v>149</v>
      </c>
      <c r="CV27" t="s">
        <v>149</v>
      </c>
      <c r="CW27" t="s">
        <v>149</v>
      </c>
      <c r="CX27" t="s">
        <v>149</v>
      </c>
      <c r="CY27" t="s">
        <v>149</v>
      </c>
      <c r="CZ27" t="s">
        <v>149</v>
      </c>
      <c r="DA27" t="s">
        <v>149</v>
      </c>
      <c r="DC27" t="s">
        <v>149</v>
      </c>
    </row>
    <row r="28" spans="1:107" x14ac:dyDescent="0.25">
      <c r="A28" t="s">
        <v>149</v>
      </c>
      <c r="B28" t="s">
        <v>149</v>
      </c>
      <c r="C28" t="s">
        <v>149</v>
      </c>
      <c r="D28" t="s">
        <v>149</v>
      </c>
      <c r="E28" t="s">
        <v>149</v>
      </c>
      <c r="F28" t="s">
        <v>149</v>
      </c>
      <c r="G28" t="s">
        <v>149</v>
      </c>
      <c r="H28" t="s">
        <v>149</v>
      </c>
      <c r="I28" t="s">
        <v>149</v>
      </c>
      <c r="J28" t="s">
        <v>149</v>
      </c>
      <c r="K28" t="s">
        <v>149</v>
      </c>
      <c r="L28" t="s">
        <v>149</v>
      </c>
      <c r="M28" t="s">
        <v>149</v>
      </c>
      <c r="N28" t="s">
        <v>149</v>
      </c>
      <c r="O28" t="s">
        <v>149</v>
      </c>
      <c r="P28" t="s">
        <v>149</v>
      </c>
      <c r="Q28" t="s">
        <v>149</v>
      </c>
      <c r="R28" t="s">
        <v>149</v>
      </c>
      <c r="S28" t="s">
        <v>149</v>
      </c>
      <c r="T28" t="s">
        <v>149</v>
      </c>
      <c r="U28" t="s">
        <v>149</v>
      </c>
      <c r="V28" t="s">
        <v>149</v>
      </c>
      <c r="W28" t="s">
        <v>149</v>
      </c>
      <c r="X28" t="s">
        <v>149</v>
      </c>
      <c r="Y28" t="s">
        <v>149</v>
      </c>
      <c r="Z28" t="s">
        <v>149</v>
      </c>
      <c r="AA28" t="s">
        <v>149</v>
      </c>
      <c r="AB28" t="s">
        <v>149</v>
      </c>
      <c r="AC28" t="s">
        <v>149</v>
      </c>
      <c r="AD28" t="s">
        <v>149</v>
      </c>
      <c r="AE28" t="s">
        <v>149</v>
      </c>
      <c r="AF28" t="s">
        <v>149</v>
      </c>
      <c r="AG28" t="s">
        <v>149</v>
      </c>
      <c r="AH28" t="s">
        <v>149</v>
      </c>
      <c r="AI28" t="s">
        <v>149</v>
      </c>
      <c r="AJ28" t="s">
        <v>149</v>
      </c>
      <c r="AK28" t="s">
        <v>149</v>
      </c>
      <c r="AL28" t="s">
        <v>149</v>
      </c>
      <c r="AM28" t="s">
        <v>149</v>
      </c>
      <c r="AN28" t="s">
        <v>149</v>
      </c>
      <c r="AO28" t="s">
        <v>149</v>
      </c>
      <c r="AP28" t="s">
        <v>149</v>
      </c>
      <c r="AQ28" t="s">
        <v>149</v>
      </c>
      <c r="AR28" t="s">
        <v>149</v>
      </c>
      <c r="AS28" t="s">
        <v>149</v>
      </c>
      <c r="AT28" t="s">
        <v>149</v>
      </c>
      <c r="AU28" t="s">
        <v>149</v>
      </c>
      <c r="AV28" t="s">
        <v>149</v>
      </c>
      <c r="AW28" t="s">
        <v>149</v>
      </c>
      <c r="AX28" t="s">
        <v>149</v>
      </c>
      <c r="AY28" t="s">
        <v>149</v>
      </c>
      <c r="AZ28" t="s">
        <v>149</v>
      </c>
      <c r="BA28" t="s">
        <v>149</v>
      </c>
      <c r="BB28" t="s">
        <v>149</v>
      </c>
      <c r="BC28" t="s">
        <v>149</v>
      </c>
      <c r="BD28" t="s">
        <v>149</v>
      </c>
      <c r="BE28" t="s">
        <v>149</v>
      </c>
      <c r="BF28" t="s">
        <v>149</v>
      </c>
      <c r="BG28" t="s">
        <v>149</v>
      </c>
      <c r="BH28" t="s">
        <v>149</v>
      </c>
      <c r="BI28" t="s">
        <v>149</v>
      </c>
      <c r="BJ28" t="s">
        <v>149</v>
      </c>
      <c r="BK28" t="s">
        <v>149</v>
      </c>
      <c r="BL28" t="s">
        <v>149</v>
      </c>
      <c r="BM28" t="s">
        <v>149</v>
      </c>
      <c r="BN28" t="s">
        <v>149</v>
      </c>
      <c r="BO28" t="s">
        <v>149</v>
      </c>
      <c r="BP28" t="s">
        <v>149</v>
      </c>
      <c r="BQ28" t="s">
        <v>149</v>
      </c>
      <c r="BR28" t="s">
        <v>149</v>
      </c>
      <c r="BS28" t="s">
        <v>149</v>
      </c>
      <c r="BT28" t="s">
        <v>149</v>
      </c>
      <c r="BU28" t="s">
        <v>149</v>
      </c>
      <c r="BV28" t="s">
        <v>149</v>
      </c>
      <c r="BW28" t="s">
        <v>149</v>
      </c>
      <c r="BX28" t="s">
        <v>149</v>
      </c>
      <c r="BY28" t="s">
        <v>149</v>
      </c>
      <c r="BZ28" t="s">
        <v>149</v>
      </c>
      <c r="CA28" t="s">
        <v>149</v>
      </c>
      <c r="CB28" t="s">
        <v>149</v>
      </c>
      <c r="CC28" t="s">
        <v>149</v>
      </c>
      <c r="CD28" t="s">
        <v>149</v>
      </c>
      <c r="CE28" t="s">
        <v>149</v>
      </c>
      <c r="CF28" t="s">
        <v>149</v>
      </c>
      <c r="CG28" t="s">
        <v>149</v>
      </c>
      <c r="CH28" t="s">
        <v>149</v>
      </c>
      <c r="CI28" t="s">
        <v>149</v>
      </c>
      <c r="CJ28" t="s">
        <v>149</v>
      </c>
      <c r="CK28" t="s">
        <v>149</v>
      </c>
      <c r="CL28" t="s">
        <v>149</v>
      </c>
      <c r="CM28" t="s">
        <v>149</v>
      </c>
      <c r="CN28" t="s">
        <v>149</v>
      </c>
      <c r="CO28" t="s">
        <v>149</v>
      </c>
      <c r="CP28" t="s">
        <v>149</v>
      </c>
      <c r="CQ28" t="s">
        <v>149</v>
      </c>
      <c r="CR28" t="s">
        <v>149</v>
      </c>
      <c r="CS28" t="s">
        <v>149</v>
      </c>
      <c r="CT28" t="s">
        <v>149</v>
      </c>
      <c r="CU28" t="s">
        <v>149</v>
      </c>
      <c r="CV28" t="s">
        <v>149</v>
      </c>
      <c r="CW28" t="s">
        <v>149</v>
      </c>
      <c r="CX28" t="s">
        <v>149</v>
      </c>
      <c r="CY28" t="s">
        <v>149</v>
      </c>
      <c r="CZ28" t="s">
        <v>149</v>
      </c>
      <c r="DA28" t="s">
        <v>149</v>
      </c>
      <c r="DC28" t="s">
        <v>149</v>
      </c>
    </row>
    <row r="29" spans="1:107" x14ac:dyDescent="0.25">
      <c r="A29" t="s">
        <v>149</v>
      </c>
      <c r="B29" t="s">
        <v>149</v>
      </c>
      <c r="C29" t="s">
        <v>149</v>
      </c>
      <c r="D29" t="s">
        <v>149</v>
      </c>
      <c r="E29" t="s">
        <v>149</v>
      </c>
      <c r="F29" t="s">
        <v>149</v>
      </c>
      <c r="G29" t="s">
        <v>149</v>
      </c>
      <c r="H29" t="s">
        <v>149</v>
      </c>
      <c r="I29" t="s">
        <v>149</v>
      </c>
      <c r="J29" t="s">
        <v>149</v>
      </c>
      <c r="K29" t="s">
        <v>149</v>
      </c>
      <c r="L29" t="s">
        <v>149</v>
      </c>
      <c r="M29" t="s">
        <v>149</v>
      </c>
      <c r="N29" t="s">
        <v>149</v>
      </c>
      <c r="O29" t="s">
        <v>149</v>
      </c>
      <c r="P29" t="s">
        <v>149</v>
      </c>
      <c r="Q29" t="s">
        <v>149</v>
      </c>
      <c r="R29" t="s">
        <v>149</v>
      </c>
      <c r="S29" t="s">
        <v>149</v>
      </c>
      <c r="T29" t="s">
        <v>149</v>
      </c>
      <c r="U29" t="s">
        <v>149</v>
      </c>
      <c r="V29" t="s">
        <v>149</v>
      </c>
      <c r="W29" t="s">
        <v>149</v>
      </c>
      <c r="X29" t="s">
        <v>149</v>
      </c>
      <c r="Y29" t="s">
        <v>149</v>
      </c>
      <c r="Z29" t="s">
        <v>149</v>
      </c>
      <c r="AA29" t="s">
        <v>149</v>
      </c>
      <c r="AB29" t="s">
        <v>149</v>
      </c>
      <c r="AC29" t="s">
        <v>149</v>
      </c>
      <c r="AD29" t="s">
        <v>149</v>
      </c>
      <c r="AE29" t="s">
        <v>149</v>
      </c>
      <c r="AF29" t="s">
        <v>149</v>
      </c>
      <c r="AG29" t="s">
        <v>149</v>
      </c>
      <c r="AH29" t="s">
        <v>149</v>
      </c>
      <c r="AI29" t="s">
        <v>149</v>
      </c>
      <c r="AJ29" t="s">
        <v>149</v>
      </c>
      <c r="AK29" t="s">
        <v>149</v>
      </c>
      <c r="AL29" t="s">
        <v>149</v>
      </c>
      <c r="AM29" t="s">
        <v>149</v>
      </c>
      <c r="AN29" t="s">
        <v>149</v>
      </c>
      <c r="AO29" t="s">
        <v>149</v>
      </c>
      <c r="AP29" t="s">
        <v>149</v>
      </c>
      <c r="AQ29" t="s">
        <v>149</v>
      </c>
      <c r="AR29" t="s">
        <v>149</v>
      </c>
      <c r="AS29" t="s">
        <v>149</v>
      </c>
      <c r="AT29" t="s">
        <v>149</v>
      </c>
      <c r="AU29" t="s">
        <v>149</v>
      </c>
      <c r="AV29" t="s">
        <v>149</v>
      </c>
      <c r="AW29" t="s">
        <v>149</v>
      </c>
      <c r="AX29" t="s">
        <v>149</v>
      </c>
      <c r="AY29" t="s">
        <v>149</v>
      </c>
      <c r="AZ29" t="s">
        <v>149</v>
      </c>
      <c r="BA29" t="s">
        <v>149</v>
      </c>
      <c r="BB29" t="s">
        <v>149</v>
      </c>
      <c r="BC29" t="s">
        <v>149</v>
      </c>
      <c r="BD29" t="s">
        <v>149</v>
      </c>
      <c r="BE29" t="s">
        <v>149</v>
      </c>
      <c r="BF29" t="s">
        <v>149</v>
      </c>
      <c r="BG29" t="s">
        <v>149</v>
      </c>
      <c r="BH29" t="s">
        <v>149</v>
      </c>
      <c r="BI29" t="s">
        <v>149</v>
      </c>
      <c r="BJ29" t="s">
        <v>149</v>
      </c>
      <c r="BK29" t="s">
        <v>149</v>
      </c>
      <c r="BL29" t="s">
        <v>149</v>
      </c>
      <c r="BM29" t="s">
        <v>149</v>
      </c>
      <c r="BN29" t="s">
        <v>149</v>
      </c>
      <c r="BO29" t="s">
        <v>149</v>
      </c>
      <c r="BP29" t="s">
        <v>149</v>
      </c>
      <c r="BQ29" t="s">
        <v>149</v>
      </c>
      <c r="BR29" t="s">
        <v>149</v>
      </c>
      <c r="BS29" t="s">
        <v>149</v>
      </c>
      <c r="BT29" t="s">
        <v>149</v>
      </c>
      <c r="BU29" t="s">
        <v>149</v>
      </c>
      <c r="BV29" t="s">
        <v>149</v>
      </c>
      <c r="BW29" t="s">
        <v>149</v>
      </c>
      <c r="BX29" t="s">
        <v>149</v>
      </c>
      <c r="BY29" t="s">
        <v>149</v>
      </c>
      <c r="BZ29" t="s">
        <v>149</v>
      </c>
      <c r="CA29" t="s">
        <v>149</v>
      </c>
      <c r="CB29" t="s">
        <v>149</v>
      </c>
      <c r="CC29" t="s">
        <v>149</v>
      </c>
      <c r="CD29" t="s">
        <v>149</v>
      </c>
      <c r="CE29" t="s">
        <v>149</v>
      </c>
      <c r="CF29" t="s">
        <v>149</v>
      </c>
      <c r="CG29" t="s">
        <v>149</v>
      </c>
      <c r="CH29" t="s">
        <v>149</v>
      </c>
      <c r="CI29" t="s">
        <v>149</v>
      </c>
      <c r="CJ29" t="s">
        <v>149</v>
      </c>
      <c r="CK29" t="s">
        <v>149</v>
      </c>
      <c r="CL29" t="s">
        <v>149</v>
      </c>
      <c r="CM29" t="s">
        <v>149</v>
      </c>
      <c r="CN29" t="s">
        <v>149</v>
      </c>
      <c r="CO29" t="s">
        <v>149</v>
      </c>
      <c r="CP29" t="s">
        <v>149</v>
      </c>
      <c r="CQ29" t="s">
        <v>149</v>
      </c>
      <c r="CR29" t="s">
        <v>149</v>
      </c>
      <c r="CS29" t="s">
        <v>149</v>
      </c>
      <c r="CT29" t="s">
        <v>149</v>
      </c>
      <c r="CU29" t="s">
        <v>149</v>
      </c>
      <c r="CV29" t="s">
        <v>149</v>
      </c>
      <c r="CW29" t="s">
        <v>149</v>
      </c>
      <c r="CX29" t="s">
        <v>149</v>
      </c>
      <c r="CY29" t="s">
        <v>149</v>
      </c>
      <c r="CZ29" t="s">
        <v>149</v>
      </c>
      <c r="DA29" t="s">
        <v>149</v>
      </c>
      <c r="DC29" t="s">
        <v>149</v>
      </c>
    </row>
    <row r="30" spans="1:107" x14ac:dyDescent="0.25">
      <c r="A30" t="s">
        <v>149</v>
      </c>
      <c r="B30" t="s">
        <v>149</v>
      </c>
      <c r="C30" t="s">
        <v>149</v>
      </c>
      <c r="D30" t="s">
        <v>149</v>
      </c>
      <c r="E30" t="s">
        <v>149</v>
      </c>
      <c r="F30" t="s">
        <v>149</v>
      </c>
      <c r="G30" t="s">
        <v>149</v>
      </c>
      <c r="H30" t="s">
        <v>149</v>
      </c>
      <c r="I30" t="s">
        <v>149</v>
      </c>
      <c r="J30" t="s">
        <v>149</v>
      </c>
      <c r="K30" t="s">
        <v>149</v>
      </c>
      <c r="L30" t="s">
        <v>149</v>
      </c>
      <c r="M30" t="s">
        <v>149</v>
      </c>
      <c r="N30" t="s">
        <v>149</v>
      </c>
      <c r="O30" t="s">
        <v>149</v>
      </c>
      <c r="P30" t="s">
        <v>149</v>
      </c>
      <c r="Q30" t="s">
        <v>149</v>
      </c>
      <c r="R30" t="s">
        <v>149</v>
      </c>
      <c r="S30" t="s">
        <v>149</v>
      </c>
      <c r="T30" t="s">
        <v>149</v>
      </c>
      <c r="U30" t="s">
        <v>149</v>
      </c>
      <c r="V30" t="s">
        <v>149</v>
      </c>
      <c r="W30" t="s">
        <v>149</v>
      </c>
      <c r="X30" t="s">
        <v>149</v>
      </c>
      <c r="Y30" t="s">
        <v>149</v>
      </c>
      <c r="Z30" t="s">
        <v>149</v>
      </c>
      <c r="AA30" t="s">
        <v>149</v>
      </c>
      <c r="AB30" t="s">
        <v>149</v>
      </c>
      <c r="AC30" t="s">
        <v>149</v>
      </c>
      <c r="AD30" t="s">
        <v>149</v>
      </c>
      <c r="AE30" t="s">
        <v>149</v>
      </c>
      <c r="AF30" t="s">
        <v>149</v>
      </c>
      <c r="AG30" t="s">
        <v>149</v>
      </c>
      <c r="AH30" t="s">
        <v>149</v>
      </c>
      <c r="AI30" t="s">
        <v>149</v>
      </c>
      <c r="AJ30" t="s">
        <v>149</v>
      </c>
      <c r="AK30" t="s">
        <v>149</v>
      </c>
      <c r="AL30" t="s">
        <v>149</v>
      </c>
      <c r="AM30" t="s">
        <v>149</v>
      </c>
      <c r="AN30" t="s">
        <v>149</v>
      </c>
      <c r="AO30" t="s">
        <v>149</v>
      </c>
      <c r="AP30" t="s">
        <v>149</v>
      </c>
      <c r="AQ30" t="s">
        <v>149</v>
      </c>
      <c r="AR30" t="s">
        <v>149</v>
      </c>
      <c r="AS30" t="s">
        <v>149</v>
      </c>
      <c r="AT30" t="s">
        <v>149</v>
      </c>
      <c r="AU30" t="s">
        <v>149</v>
      </c>
      <c r="AV30" t="s">
        <v>149</v>
      </c>
      <c r="AW30" t="s">
        <v>149</v>
      </c>
      <c r="AX30" t="s">
        <v>149</v>
      </c>
      <c r="AY30" t="s">
        <v>149</v>
      </c>
      <c r="AZ30" t="s">
        <v>149</v>
      </c>
      <c r="BA30" t="s">
        <v>149</v>
      </c>
      <c r="BB30" t="s">
        <v>149</v>
      </c>
      <c r="BC30" t="s">
        <v>149</v>
      </c>
      <c r="BD30" t="s">
        <v>149</v>
      </c>
      <c r="BE30" t="s">
        <v>149</v>
      </c>
      <c r="BF30" t="s">
        <v>149</v>
      </c>
      <c r="BG30" t="s">
        <v>149</v>
      </c>
      <c r="BH30" t="s">
        <v>149</v>
      </c>
      <c r="BI30" t="s">
        <v>149</v>
      </c>
      <c r="BJ30" t="s">
        <v>149</v>
      </c>
      <c r="BK30" t="s">
        <v>149</v>
      </c>
      <c r="BL30" t="s">
        <v>149</v>
      </c>
      <c r="BM30" t="s">
        <v>149</v>
      </c>
      <c r="BN30" t="s">
        <v>149</v>
      </c>
      <c r="BO30" t="s">
        <v>149</v>
      </c>
      <c r="BP30" t="s">
        <v>149</v>
      </c>
      <c r="BQ30" t="s">
        <v>149</v>
      </c>
      <c r="BR30" t="s">
        <v>149</v>
      </c>
      <c r="BS30" t="s">
        <v>149</v>
      </c>
      <c r="BT30" t="s">
        <v>149</v>
      </c>
      <c r="BU30" t="s">
        <v>149</v>
      </c>
      <c r="BV30" t="s">
        <v>149</v>
      </c>
      <c r="BW30" t="s">
        <v>149</v>
      </c>
      <c r="BX30" t="s">
        <v>149</v>
      </c>
      <c r="BY30" t="s">
        <v>149</v>
      </c>
      <c r="BZ30" t="s">
        <v>149</v>
      </c>
      <c r="CA30" t="s">
        <v>149</v>
      </c>
      <c r="CB30" t="s">
        <v>149</v>
      </c>
      <c r="CC30" t="s">
        <v>149</v>
      </c>
      <c r="CD30" t="s">
        <v>149</v>
      </c>
      <c r="CE30" t="s">
        <v>149</v>
      </c>
      <c r="CF30" t="s">
        <v>149</v>
      </c>
      <c r="CG30" t="s">
        <v>149</v>
      </c>
      <c r="CH30" t="s">
        <v>149</v>
      </c>
      <c r="CI30" t="s">
        <v>149</v>
      </c>
      <c r="CJ30" t="s">
        <v>149</v>
      </c>
      <c r="CK30" t="s">
        <v>149</v>
      </c>
      <c r="CL30" t="s">
        <v>149</v>
      </c>
      <c r="CM30" t="s">
        <v>149</v>
      </c>
      <c r="CN30" t="s">
        <v>149</v>
      </c>
      <c r="CO30" t="s">
        <v>149</v>
      </c>
      <c r="CP30" t="s">
        <v>149</v>
      </c>
      <c r="CQ30" t="s">
        <v>149</v>
      </c>
      <c r="CR30" t="s">
        <v>149</v>
      </c>
      <c r="CS30" t="s">
        <v>149</v>
      </c>
      <c r="CT30" t="s">
        <v>149</v>
      </c>
      <c r="CU30" t="s">
        <v>149</v>
      </c>
      <c r="CV30" t="s">
        <v>149</v>
      </c>
      <c r="CW30" t="s">
        <v>149</v>
      </c>
      <c r="CX30" t="s">
        <v>149</v>
      </c>
      <c r="CY30" t="s">
        <v>149</v>
      </c>
      <c r="CZ30" t="s">
        <v>149</v>
      </c>
      <c r="DA30" t="s">
        <v>149</v>
      </c>
      <c r="DC30" t="s">
        <v>149</v>
      </c>
    </row>
    <row r="31" spans="1:107" x14ac:dyDescent="0.25">
      <c r="A31" t="s">
        <v>149</v>
      </c>
      <c r="B31" t="s">
        <v>149</v>
      </c>
      <c r="C31" t="s">
        <v>149</v>
      </c>
      <c r="D31" t="s">
        <v>149</v>
      </c>
      <c r="E31" t="s">
        <v>149</v>
      </c>
      <c r="F31" t="s">
        <v>149</v>
      </c>
      <c r="G31" t="s">
        <v>149</v>
      </c>
      <c r="H31" t="s">
        <v>149</v>
      </c>
      <c r="I31" t="s">
        <v>149</v>
      </c>
      <c r="J31" t="s">
        <v>149</v>
      </c>
      <c r="K31" t="s">
        <v>149</v>
      </c>
      <c r="L31" t="s">
        <v>149</v>
      </c>
      <c r="M31" t="s">
        <v>149</v>
      </c>
      <c r="N31" t="s">
        <v>149</v>
      </c>
      <c r="O31" t="s">
        <v>149</v>
      </c>
      <c r="P31" t="s">
        <v>149</v>
      </c>
      <c r="Q31" t="s">
        <v>149</v>
      </c>
      <c r="R31" t="s">
        <v>149</v>
      </c>
      <c r="S31" t="s">
        <v>149</v>
      </c>
      <c r="T31" t="s">
        <v>149</v>
      </c>
      <c r="U31" t="s">
        <v>149</v>
      </c>
      <c r="V31" t="s">
        <v>149</v>
      </c>
      <c r="W31" t="s">
        <v>149</v>
      </c>
      <c r="X31" t="s">
        <v>149</v>
      </c>
      <c r="Y31" t="s">
        <v>149</v>
      </c>
      <c r="Z31" t="s">
        <v>149</v>
      </c>
      <c r="AA31" t="s">
        <v>149</v>
      </c>
      <c r="AB31" t="s">
        <v>149</v>
      </c>
      <c r="AC31" t="s">
        <v>149</v>
      </c>
      <c r="AD31" t="s">
        <v>149</v>
      </c>
      <c r="AE31" t="s">
        <v>149</v>
      </c>
      <c r="AF31" t="s">
        <v>149</v>
      </c>
      <c r="AG31" t="s">
        <v>149</v>
      </c>
      <c r="AH31" t="s">
        <v>149</v>
      </c>
      <c r="AI31" t="s">
        <v>149</v>
      </c>
      <c r="AJ31" t="s">
        <v>149</v>
      </c>
      <c r="AK31" t="s">
        <v>149</v>
      </c>
      <c r="AL31" t="s">
        <v>149</v>
      </c>
      <c r="AM31" t="s">
        <v>149</v>
      </c>
      <c r="AN31" t="s">
        <v>149</v>
      </c>
      <c r="AO31" t="s">
        <v>149</v>
      </c>
      <c r="AP31" t="s">
        <v>149</v>
      </c>
      <c r="AQ31" t="s">
        <v>149</v>
      </c>
      <c r="AR31" t="s">
        <v>149</v>
      </c>
      <c r="AS31" t="s">
        <v>149</v>
      </c>
      <c r="AT31" t="s">
        <v>149</v>
      </c>
      <c r="AU31" t="s">
        <v>149</v>
      </c>
      <c r="AV31" t="s">
        <v>149</v>
      </c>
      <c r="AW31" t="s">
        <v>149</v>
      </c>
      <c r="AX31" t="s">
        <v>149</v>
      </c>
      <c r="AY31" t="s">
        <v>149</v>
      </c>
      <c r="AZ31" t="s">
        <v>149</v>
      </c>
      <c r="BA31" t="s">
        <v>149</v>
      </c>
      <c r="BB31" t="s">
        <v>149</v>
      </c>
      <c r="BC31" t="s">
        <v>149</v>
      </c>
      <c r="BD31" t="s">
        <v>149</v>
      </c>
      <c r="BE31" t="s">
        <v>149</v>
      </c>
      <c r="BF31" t="s">
        <v>149</v>
      </c>
      <c r="BG31" t="s">
        <v>149</v>
      </c>
      <c r="BH31" t="s">
        <v>149</v>
      </c>
      <c r="BI31" t="s">
        <v>149</v>
      </c>
      <c r="BJ31" t="s">
        <v>149</v>
      </c>
      <c r="BK31" t="s">
        <v>149</v>
      </c>
      <c r="BL31" t="s">
        <v>149</v>
      </c>
      <c r="BM31" t="s">
        <v>149</v>
      </c>
      <c r="BN31" t="s">
        <v>149</v>
      </c>
      <c r="BO31" t="s">
        <v>149</v>
      </c>
      <c r="BP31" t="s">
        <v>149</v>
      </c>
      <c r="BQ31" t="s">
        <v>149</v>
      </c>
      <c r="BR31" t="s">
        <v>149</v>
      </c>
      <c r="BS31" t="s">
        <v>149</v>
      </c>
      <c r="BT31" t="s">
        <v>149</v>
      </c>
      <c r="BU31" t="s">
        <v>149</v>
      </c>
      <c r="BV31" t="s">
        <v>149</v>
      </c>
      <c r="BW31" t="s">
        <v>149</v>
      </c>
      <c r="BX31" t="s">
        <v>149</v>
      </c>
      <c r="BY31" t="s">
        <v>149</v>
      </c>
      <c r="BZ31" t="s">
        <v>149</v>
      </c>
      <c r="CA31" t="s">
        <v>149</v>
      </c>
      <c r="CB31" t="s">
        <v>149</v>
      </c>
      <c r="CC31" t="s">
        <v>149</v>
      </c>
      <c r="CD31" t="s">
        <v>149</v>
      </c>
      <c r="CE31" t="s">
        <v>149</v>
      </c>
      <c r="CF31" t="s">
        <v>149</v>
      </c>
      <c r="CG31" t="s">
        <v>149</v>
      </c>
      <c r="CH31" t="s">
        <v>149</v>
      </c>
      <c r="CI31" t="s">
        <v>149</v>
      </c>
      <c r="CJ31" t="s">
        <v>149</v>
      </c>
      <c r="CK31" t="s">
        <v>149</v>
      </c>
      <c r="CL31" t="s">
        <v>149</v>
      </c>
      <c r="CM31" t="s">
        <v>149</v>
      </c>
      <c r="CN31" t="s">
        <v>149</v>
      </c>
      <c r="CO31" t="s">
        <v>149</v>
      </c>
      <c r="CP31" t="s">
        <v>149</v>
      </c>
      <c r="CQ31" t="s">
        <v>149</v>
      </c>
      <c r="CR31" t="s">
        <v>149</v>
      </c>
      <c r="CS31" t="s">
        <v>149</v>
      </c>
      <c r="CT31" t="s">
        <v>149</v>
      </c>
      <c r="CU31" t="s">
        <v>149</v>
      </c>
      <c r="CV31" t="s">
        <v>149</v>
      </c>
      <c r="CW31" t="s">
        <v>149</v>
      </c>
      <c r="CX31" t="s">
        <v>149</v>
      </c>
      <c r="CY31" t="s">
        <v>149</v>
      </c>
      <c r="CZ31" t="s">
        <v>149</v>
      </c>
      <c r="DA31" t="s">
        <v>149</v>
      </c>
      <c r="DC31" t="s">
        <v>149</v>
      </c>
    </row>
    <row r="32" spans="1:107" x14ac:dyDescent="0.25">
      <c r="A32" t="s">
        <v>149</v>
      </c>
      <c r="B32" t="s">
        <v>149</v>
      </c>
      <c r="C32" t="s">
        <v>149</v>
      </c>
      <c r="D32" t="s">
        <v>149</v>
      </c>
      <c r="E32" t="s">
        <v>149</v>
      </c>
      <c r="F32" t="s">
        <v>149</v>
      </c>
      <c r="G32" t="s">
        <v>149</v>
      </c>
      <c r="H32" t="s">
        <v>149</v>
      </c>
      <c r="I32" t="s">
        <v>149</v>
      </c>
      <c r="J32" t="s">
        <v>149</v>
      </c>
      <c r="K32" t="s">
        <v>149</v>
      </c>
      <c r="L32" t="s">
        <v>149</v>
      </c>
      <c r="M32" t="s">
        <v>149</v>
      </c>
      <c r="N32" t="s">
        <v>149</v>
      </c>
      <c r="O32" t="s">
        <v>149</v>
      </c>
      <c r="P32" t="s">
        <v>149</v>
      </c>
      <c r="Q32" t="s">
        <v>149</v>
      </c>
      <c r="R32" t="s">
        <v>149</v>
      </c>
      <c r="S32" t="s">
        <v>149</v>
      </c>
      <c r="T32" t="s">
        <v>149</v>
      </c>
      <c r="U32" t="s">
        <v>149</v>
      </c>
      <c r="V32" t="s">
        <v>149</v>
      </c>
      <c r="W32" t="s">
        <v>149</v>
      </c>
      <c r="X32" t="s">
        <v>149</v>
      </c>
      <c r="Y32" t="s">
        <v>149</v>
      </c>
      <c r="Z32" t="s">
        <v>149</v>
      </c>
      <c r="AA32" t="s">
        <v>149</v>
      </c>
      <c r="AB32" t="s">
        <v>149</v>
      </c>
      <c r="AC32" t="s">
        <v>149</v>
      </c>
      <c r="AD32" t="s">
        <v>149</v>
      </c>
      <c r="AE32" t="s">
        <v>149</v>
      </c>
      <c r="AF32" t="s">
        <v>149</v>
      </c>
      <c r="AG32" t="s">
        <v>149</v>
      </c>
      <c r="AH32" t="s">
        <v>149</v>
      </c>
      <c r="AI32" t="s">
        <v>149</v>
      </c>
      <c r="AJ32" t="s">
        <v>149</v>
      </c>
      <c r="AK32" t="s">
        <v>149</v>
      </c>
      <c r="AL32" t="s">
        <v>149</v>
      </c>
      <c r="AM32" t="s">
        <v>149</v>
      </c>
      <c r="AN32" t="s">
        <v>149</v>
      </c>
      <c r="AO32" t="s">
        <v>149</v>
      </c>
      <c r="AP32" t="s">
        <v>149</v>
      </c>
      <c r="AQ32" t="s">
        <v>149</v>
      </c>
      <c r="AR32" t="s">
        <v>149</v>
      </c>
      <c r="AS32" t="s">
        <v>149</v>
      </c>
      <c r="AT32" t="s">
        <v>149</v>
      </c>
      <c r="AU32" t="s">
        <v>149</v>
      </c>
      <c r="AV32" t="s">
        <v>149</v>
      </c>
      <c r="AW32" t="s">
        <v>149</v>
      </c>
      <c r="AX32" t="s">
        <v>149</v>
      </c>
      <c r="AY32" t="s">
        <v>149</v>
      </c>
      <c r="AZ32" t="s">
        <v>149</v>
      </c>
      <c r="BA32" t="s">
        <v>149</v>
      </c>
      <c r="BB32" t="s">
        <v>149</v>
      </c>
      <c r="BC32" t="s">
        <v>149</v>
      </c>
      <c r="BD32" t="s">
        <v>149</v>
      </c>
      <c r="BE32" t="s">
        <v>149</v>
      </c>
      <c r="BF32" t="s">
        <v>149</v>
      </c>
      <c r="BG32" t="s">
        <v>149</v>
      </c>
      <c r="BH32" t="s">
        <v>149</v>
      </c>
      <c r="BI32" t="s">
        <v>149</v>
      </c>
      <c r="BJ32" t="s">
        <v>149</v>
      </c>
      <c r="BK32" t="s">
        <v>149</v>
      </c>
      <c r="BL32" t="s">
        <v>149</v>
      </c>
      <c r="BM32" t="s">
        <v>149</v>
      </c>
      <c r="BN32" t="s">
        <v>149</v>
      </c>
      <c r="BO32" t="s">
        <v>149</v>
      </c>
      <c r="BP32" t="s">
        <v>149</v>
      </c>
      <c r="BQ32" t="s">
        <v>149</v>
      </c>
      <c r="BR32" t="s">
        <v>149</v>
      </c>
      <c r="BS32" t="s">
        <v>149</v>
      </c>
      <c r="BT32" t="s">
        <v>149</v>
      </c>
      <c r="BU32" t="s">
        <v>149</v>
      </c>
      <c r="BV32" t="s">
        <v>149</v>
      </c>
      <c r="BW32" t="s">
        <v>149</v>
      </c>
      <c r="BX32" t="s">
        <v>149</v>
      </c>
      <c r="BY32" t="s">
        <v>149</v>
      </c>
      <c r="BZ32" t="s">
        <v>149</v>
      </c>
      <c r="CA32" t="s">
        <v>149</v>
      </c>
      <c r="CB32" t="s">
        <v>149</v>
      </c>
      <c r="CC32" t="s">
        <v>149</v>
      </c>
      <c r="CD32" t="s">
        <v>149</v>
      </c>
      <c r="CE32" t="s">
        <v>149</v>
      </c>
      <c r="CF32" t="s">
        <v>149</v>
      </c>
      <c r="CG32" t="s">
        <v>149</v>
      </c>
      <c r="CH32" t="s">
        <v>149</v>
      </c>
      <c r="CI32" t="s">
        <v>149</v>
      </c>
      <c r="CJ32" t="s">
        <v>149</v>
      </c>
      <c r="CK32" t="s">
        <v>149</v>
      </c>
      <c r="CL32" t="s">
        <v>149</v>
      </c>
      <c r="CM32" t="s">
        <v>149</v>
      </c>
      <c r="CN32" t="s">
        <v>149</v>
      </c>
      <c r="CO32" t="s">
        <v>149</v>
      </c>
      <c r="CP32" t="s">
        <v>149</v>
      </c>
      <c r="CQ32" t="s">
        <v>149</v>
      </c>
      <c r="CR32" t="s">
        <v>149</v>
      </c>
      <c r="CS32" t="s">
        <v>149</v>
      </c>
      <c r="CT32" t="s">
        <v>149</v>
      </c>
      <c r="CU32" t="s">
        <v>149</v>
      </c>
      <c r="CV32" t="s">
        <v>149</v>
      </c>
      <c r="CW32" t="s">
        <v>149</v>
      </c>
      <c r="CX32" t="s">
        <v>149</v>
      </c>
      <c r="CY32" t="s">
        <v>149</v>
      </c>
      <c r="CZ32" t="s">
        <v>149</v>
      </c>
      <c r="DA32" t="s">
        <v>149</v>
      </c>
      <c r="DC32" t="s">
        <v>149</v>
      </c>
    </row>
    <row r="33" spans="1:107" x14ac:dyDescent="0.25">
      <c r="A33" t="s">
        <v>149</v>
      </c>
      <c r="B33" t="s">
        <v>149</v>
      </c>
      <c r="C33" t="s">
        <v>149</v>
      </c>
      <c r="D33" t="s">
        <v>149</v>
      </c>
      <c r="E33" t="s">
        <v>149</v>
      </c>
      <c r="F33" t="s">
        <v>149</v>
      </c>
      <c r="G33" t="s">
        <v>149</v>
      </c>
      <c r="H33" t="s">
        <v>149</v>
      </c>
      <c r="I33" t="s">
        <v>149</v>
      </c>
      <c r="J33" t="s">
        <v>149</v>
      </c>
      <c r="K33" t="s">
        <v>149</v>
      </c>
      <c r="L33" t="s">
        <v>149</v>
      </c>
      <c r="M33" t="s">
        <v>149</v>
      </c>
      <c r="N33" t="s">
        <v>149</v>
      </c>
      <c r="O33" t="s">
        <v>149</v>
      </c>
      <c r="P33" t="s">
        <v>149</v>
      </c>
      <c r="Q33" t="s">
        <v>149</v>
      </c>
      <c r="R33" t="s">
        <v>149</v>
      </c>
      <c r="S33" t="s">
        <v>149</v>
      </c>
      <c r="T33" t="s">
        <v>149</v>
      </c>
      <c r="U33" t="s">
        <v>149</v>
      </c>
      <c r="V33" t="s">
        <v>149</v>
      </c>
      <c r="W33" t="s">
        <v>149</v>
      </c>
      <c r="X33" t="s">
        <v>149</v>
      </c>
      <c r="Y33" t="s">
        <v>149</v>
      </c>
      <c r="Z33" t="s">
        <v>149</v>
      </c>
      <c r="AA33" t="s">
        <v>149</v>
      </c>
      <c r="AB33" t="s">
        <v>149</v>
      </c>
      <c r="AC33" t="s">
        <v>149</v>
      </c>
      <c r="AD33" t="s">
        <v>149</v>
      </c>
      <c r="AE33" t="s">
        <v>149</v>
      </c>
      <c r="AF33" t="s">
        <v>149</v>
      </c>
      <c r="AG33" t="s">
        <v>149</v>
      </c>
      <c r="AH33" t="s">
        <v>149</v>
      </c>
      <c r="AI33" t="s">
        <v>149</v>
      </c>
      <c r="AJ33" t="s">
        <v>149</v>
      </c>
      <c r="AK33" t="s">
        <v>149</v>
      </c>
      <c r="AL33" t="s">
        <v>149</v>
      </c>
      <c r="AM33" t="s">
        <v>149</v>
      </c>
      <c r="AN33" t="s">
        <v>149</v>
      </c>
      <c r="AO33" t="s">
        <v>149</v>
      </c>
      <c r="AP33" t="s">
        <v>149</v>
      </c>
      <c r="AQ33" t="s">
        <v>149</v>
      </c>
      <c r="AR33" t="s">
        <v>149</v>
      </c>
      <c r="AS33" t="s">
        <v>149</v>
      </c>
      <c r="AT33" t="s">
        <v>149</v>
      </c>
      <c r="AU33" t="s">
        <v>149</v>
      </c>
      <c r="AV33" t="s">
        <v>149</v>
      </c>
      <c r="AW33" t="s">
        <v>149</v>
      </c>
      <c r="AX33" t="s">
        <v>149</v>
      </c>
      <c r="AY33" t="s">
        <v>149</v>
      </c>
      <c r="AZ33" t="s">
        <v>149</v>
      </c>
      <c r="BA33" t="s">
        <v>149</v>
      </c>
      <c r="BB33" t="s">
        <v>149</v>
      </c>
      <c r="BC33" t="s">
        <v>149</v>
      </c>
      <c r="BD33" t="s">
        <v>149</v>
      </c>
      <c r="BE33" t="s">
        <v>149</v>
      </c>
      <c r="BF33" t="s">
        <v>149</v>
      </c>
      <c r="BG33" t="s">
        <v>149</v>
      </c>
      <c r="BH33" t="s">
        <v>149</v>
      </c>
      <c r="BI33" t="s">
        <v>149</v>
      </c>
      <c r="BJ33" t="s">
        <v>149</v>
      </c>
      <c r="BK33" t="s">
        <v>149</v>
      </c>
      <c r="BL33" t="s">
        <v>149</v>
      </c>
      <c r="BM33" t="s">
        <v>149</v>
      </c>
      <c r="BN33" t="s">
        <v>149</v>
      </c>
      <c r="BO33" t="s">
        <v>149</v>
      </c>
      <c r="BP33" t="s">
        <v>149</v>
      </c>
      <c r="BQ33" t="s">
        <v>149</v>
      </c>
      <c r="BR33" t="s">
        <v>149</v>
      </c>
      <c r="BS33" t="s">
        <v>149</v>
      </c>
      <c r="BT33" t="s">
        <v>149</v>
      </c>
      <c r="BU33" t="s">
        <v>149</v>
      </c>
      <c r="BV33" t="s">
        <v>149</v>
      </c>
      <c r="BW33" t="s">
        <v>149</v>
      </c>
      <c r="BX33" t="s">
        <v>149</v>
      </c>
      <c r="BY33" t="s">
        <v>149</v>
      </c>
      <c r="BZ33" t="s">
        <v>149</v>
      </c>
      <c r="CA33" t="s">
        <v>149</v>
      </c>
      <c r="CB33" t="s">
        <v>149</v>
      </c>
      <c r="CC33" t="s">
        <v>149</v>
      </c>
      <c r="CD33" t="s">
        <v>149</v>
      </c>
      <c r="CE33" t="s">
        <v>149</v>
      </c>
      <c r="CF33" t="s">
        <v>149</v>
      </c>
      <c r="CG33" t="s">
        <v>149</v>
      </c>
      <c r="CH33" t="s">
        <v>149</v>
      </c>
      <c r="CI33" t="s">
        <v>149</v>
      </c>
      <c r="CJ33" t="s">
        <v>149</v>
      </c>
      <c r="CK33" t="s">
        <v>149</v>
      </c>
      <c r="CL33" t="s">
        <v>149</v>
      </c>
      <c r="CM33" t="s">
        <v>149</v>
      </c>
      <c r="CN33" t="s">
        <v>149</v>
      </c>
      <c r="CO33" t="s">
        <v>149</v>
      </c>
      <c r="CP33" t="s">
        <v>149</v>
      </c>
      <c r="CQ33" t="s">
        <v>149</v>
      </c>
      <c r="CR33" t="s">
        <v>149</v>
      </c>
      <c r="CS33" t="s">
        <v>149</v>
      </c>
      <c r="CT33" t="s">
        <v>149</v>
      </c>
      <c r="CU33" t="s">
        <v>149</v>
      </c>
      <c r="CV33" t="s">
        <v>149</v>
      </c>
      <c r="CW33" t="s">
        <v>149</v>
      </c>
      <c r="CX33" t="s">
        <v>149</v>
      </c>
      <c r="CY33" t="s">
        <v>149</v>
      </c>
      <c r="CZ33" t="s">
        <v>149</v>
      </c>
      <c r="DA33" t="s">
        <v>149</v>
      </c>
      <c r="DC33" t="s">
        <v>149</v>
      </c>
    </row>
    <row r="34" spans="1:107" x14ac:dyDescent="0.25">
      <c r="A34" t="s">
        <v>149</v>
      </c>
      <c r="B34" t="s">
        <v>149</v>
      </c>
      <c r="C34" t="s">
        <v>149</v>
      </c>
      <c r="D34" t="s">
        <v>149</v>
      </c>
      <c r="E34" t="s">
        <v>149</v>
      </c>
      <c r="F34" t="s">
        <v>149</v>
      </c>
      <c r="G34" t="s">
        <v>149</v>
      </c>
      <c r="H34" t="s">
        <v>149</v>
      </c>
      <c r="I34" t="s">
        <v>149</v>
      </c>
      <c r="J34" t="s">
        <v>149</v>
      </c>
      <c r="K34" t="s">
        <v>149</v>
      </c>
      <c r="L34" t="s">
        <v>149</v>
      </c>
      <c r="M34" t="s">
        <v>149</v>
      </c>
      <c r="N34" t="s">
        <v>149</v>
      </c>
      <c r="O34" t="s">
        <v>149</v>
      </c>
      <c r="P34" t="s">
        <v>149</v>
      </c>
      <c r="Q34" t="s">
        <v>149</v>
      </c>
      <c r="R34" t="s">
        <v>149</v>
      </c>
      <c r="S34" t="s">
        <v>149</v>
      </c>
      <c r="T34" t="s">
        <v>149</v>
      </c>
      <c r="U34" t="s">
        <v>149</v>
      </c>
      <c r="V34" t="s">
        <v>149</v>
      </c>
      <c r="W34" t="s">
        <v>149</v>
      </c>
      <c r="X34" t="s">
        <v>149</v>
      </c>
      <c r="Y34" t="s">
        <v>149</v>
      </c>
      <c r="Z34" t="s">
        <v>149</v>
      </c>
      <c r="AA34" t="s">
        <v>149</v>
      </c>
      <c r="AB34" t="s">
        <v>149</v>
      </c>
      <c r="AC34" t="s">
        <v>149</v>
      </c>
      <c r="AD34" t="s">
        <v>149</v>
      </c>
      <c r="AE34" t="s">
        <v>149</v>
      </c>
      <c r="AF34" t="s">
        <v>149</v>
      </c>
      <c r="AG34" t="s">
        <v>149</v>
      </c>
      <c r="AH34" t="s">
        <v>149</v>
      </c>
      <c r="AI34" t="s">
        <v>149</v>
      </c>
      <c r="AJ34" t="s">
        <v>149</v>
      </c>
      <c r="AK34" t="s">
        <v>149</v>
      </c>
      <c r="AL34" t="s">
        <v>149</v>
      </c>
      <c r="AM34" t="s">
        <v>149</v>
      </c>
      <c r="AN34" t="s">
        <v>149</v>
      </c>
      <c r="AO34" t="s">
        <v>149</v>
      </c>
      <c r="AP34" t="s">
        <v>149</v>
      </c>
      <c r="AQ34" t="s">
        <v>149</v>
      </c>
      <c r="AR34" t="s">
        <v>149</v>
      </c>
      <c r="AS34" t="s">
        <v>149</v>
      </c>
      <c r="AT34" t="s">
        <v>149</v>
      </c>
      <c r="AU34" t="s">
        <v>149</v>
      </c>
      <c r="AV34" t="s">
        <v>149</v>
      </c>
      <c r="AW34" t="s">
        <v>149</v>
      </c>
      <c r="AX34" t="s">
        <v>149</v>
      </c>
      <c r="AY34" t="s">
        <v>149</v>
      </c>
      <c r="AZ34" t="s">
        <v>149</v>
      </c>
      <c r="BA34" t="s">
        <v>149</v>
      </c>
      <c r="BB34" t="s">
        <v>149</v>
      </c>
      <c r="BC34" t="s">
        <v>149</v>
      </c>
      <c r="BD34" t="s">
        <v>149</v>
      </c>
      <c r="BE34" t="s">
        <v>149</v>
      </c>
      <c r="BF34" t="s">
        <v>149</v>
      </c>
      <c r="BG34" t="s">
        <v>149</v>
      </c>
      <c r="BH34" t="s">
        <v>149</v>
      </c>
      <c r="BI34" t="s">
        <v>149</v>
      </c>
      <c r="BJ34" t="s">
        <v>149</v>
      </c>
      <c r="BK34" t="s">
        <v>149</v>
      </c>
      <c r="BL34" t="s">
        <v>149</v>
      </c>
      <c r="BM34" t="s">
        <v>149</v>
      </c>
      <c r="BN34" t="s">
        <v>149</v>
      </c>
      <c r="BO34" t="s">
        <v>149</v>
      </c>
      <c r="BP34" t="s">
        <v>149</v>
      </c>
      <c r="BQ34" t="s">
        <v>149</v>
      </c>
      <c r="BR34" t="s">
        <v>149</v>
      </c>
      <c r="BS34" t="s">
        <v>149</v>
      </c>
      <c r="BT34" t="s">
        <v>149</v>
      </c>
      <c r="BU34" t="s">
        <v>149</v>
      </c>
      <c r="BV34" t="s">
        <v>149</v>
      </c>
      <c r="BW34" t="s">
        <v>149</v>
      </c>
      <c r="BX34" t="s">
        <v>149</v>
      </c>
      <c r="BY34" t="s">
        <v>149</v>
      </c>
      <c r="BZ34" t="s">
        <v>149</v>
      </c>
      <c r="CA34" t="s">
        <v>149</v>
      </c>
      <c r="CB34" t="s">
        <v>149</v>
      </c>
      <c r="CC34" t="s">
        <v>149</v>
      </c>
      <c r="CD34" t="s">
        <v>149</v>
      </c>
      <c r="CE34" t="s">
        <v>149</v>
      </c>
      <c r="CF34" t="s">
        <v>149</v>
      </c>
      <c r="CG34" t="s">
        <v>149</v>
      </c>
      <c r="CH34" t="s">
        <v>149</v>
      </c>
      <c r="CI34" t="s">
        <v>149</v>
      </c>
      <c r="CJ34" t="s">
        <v>149</v>
      </c>
      <c r="CK34" t="s">
        <v>149</v>
      </c>
      <c r="CL34" t="s">
        <v>149</v>
      </c>
      <c r="CM34" t="s">
        <v>149</v>
      </c>
      <c r="CN34" t="s">
        <v>149</v>
      </c>
      <c r="CO34" t="s">
        <v>149</v>
      </c>
      <c r="CP34" t="s">
        <v>149</v>
      </c>
      <c r="CQ34" t="s">
        <v>149</v>
      </c>
      <c r="CR34" t="s">
        <v>149</v>
      </c>
      <c r="CS34" t="s">
        <v>149</v>
      </c>
      <c r="CT34" t="s">
        <v>149</v>
      </c>
      <c r="CU34" t="s">
        <v>149</v>
      </c>
      <c r="CV34" t="s">
        <v>149</v>
      </c>
      <c r="CW34" t="s">
        <v>149</v>
      </c>
      <c r="CX34" t="s">
        <v>149</v>
      </c>
      <c r="CY34" t="s">
        <v>149</v>
      </c>
      <c r="CZ34" t="s">
        <v>149</v>
      </c>
      <c r="DA34" t="s">
        <v>149</v>
      </c>
      <c r="DC34" t="s">
        <v>149</v>
      </c>
    </row>
    <row r="35" spans="1:107" x14ac:dyDescent="0.25">
      <c r="A35" t="s">
        <v>149</v>
      </c>
      <c r="B35" t="s">
        <v>149</v>
      </c>
      <c r="C35" t="s">
        <v>149</v>
      </c>
      <c r="D35" t="s">
        <v>149</v>
      </c>
      <c r="E35" t="s">
        <v>149</v>
      </c>
      <c r="F35" t="s">
        <v>149</v>
      </c>
      <c r="G35" t="s">
        <v>149</v>
      </c>
      <c r="H35" t="s">
        <v>149</v>
      </c>
      <c r="I35" t="s">
        <v>149</v>
      </c>
      <c r="J35" t="s">
        <v>149</v>
      </c>
      <c r="K35" t="s">
        <v>149</v>
      </c>
      <c r="L35" t="s">
        <v>149</v>
      </c>
      <c r="M35" t="s">
        <v>149</v>
      </c>
      <c r="N35" t="s">
        <v>149</v>
      </c>
      <c r="O35" t="s">
        <v>149</v>
      </c>
      <c r="P35" t="s">
        <v>149</v>
      </c>
      <c r="Q35" t="s">
        <v>149</v>
      </c>
      <c r="R35" t="s">
        <v>149</v>
      </c>
      <c r="S35" t="s">
        <v>149</v>
      </c>
      <c r="T35" t="s">
        <v>149</v>
      </c>
      <c r="U35" t="s">
        <v>149</v>
      </c>
      <c r="V35" t="s">
        <v>149</v>
      </c>
      <c r="W35" t="s">
        <v>149</v>
      </c>
      <c r="X35" t="s">
        <v>149</v>
      </c>
      <c r="Y35" t="s">
        <v>149</v>
      </c>
      <c r="Z35" t="s">
        <v>149</v>
      </c>
      <c r="AA35" t="s">
        <v>149</v>
      </c>
      <c r="AB35" t="s">
        <v>149</v>
      </c>
      <c r="AC35" t="s">
        <v>149</v>
      </c>
      <c r="AD35" t="s">
        <v>149</v>
      </c>
      <c r="AE35" t="s">
        <v>149</v>
      </c>
      <c r="AF35" t="s">
        <v>149</v>
      </c>
      <c r="AG35" t="s">
        <v>149</v>
      </c>
      <c r="AH35" t="s">
        <v>149</v>
      </c>
      <c r="AI35" t="s">
        <v>149</v>
      </c>
      <c r="AJ35" t="s">
        <v>149</v>
      </c>
      <c r="AK35" t="s">
        <v>149</v>
      </c>
      <c r="AL35" t="s">
        <v>149</v>
      </c>
      <c r="AM35" t="s">
        <v>149</v>
      </c>
      <c r="AN35" t="s">
        <v>149</v>
      </c>
      <c r="AO35" t="s">
        <v>149</v>
      </c>
      <c r="AP35" t="s">
        <v>149</v>
      </c>
      <c r="AQ35" t="s">
        <v>149</v>
      </c>
      <c r="AR35" t="s">
        <v>149</v>
      </c>
      <c r="AS35" t="s">
        <v>149</v>
      </c>
      <c r="AT35" t="s">
        <v>149</v>
      </c>
      <c r="AU35" t="s">
        <v>149</v>
      </c>
      <c r="AV35" t="s">
        <v>149</v>
      </c>
      <c r="AW35" t="s">
        <v>149</v>
      </c>
      <c r="AX35" t="s">
        <v>149</v>
      </c>
      <c r="AY35" t="s">
        <v>149</v>
      </c>
      <c r="AZ35" t="s">
        <v>149</v>
      </c>
      <c r="BA35" t="s">
        <v>149</v>
      </c>
      <c r="BB35" t="s">
        <v>149</v>
      </c>
      <c r="BC35" t="s">
        <v>149</v>
      </c>
      <c r="BD35" t="s">
        <v>149</v>
      </c>
      <c r="BE35" t="s">
        <v>149</v>
      </c>
      <c r="BF35" t="s">
        <v>149</v>
      </c>
      <c r="BG35" t="s">
        <v>149</v>
      </c>
      <c r="BH35" t="s">
        <v>149</v>
      </c>
      <c r="BI35" t="s">
        <v>149</v>
      </c>
      <c r="BJ35" t="s">
        <v>149</v>
      </c>
      <c r="BK35" t="s">
        <v>149</v>
      </c>
      <c r="BL35" t="s">
        <v>149</v>
      </c>
      <c r="BM35" t="s">
        <v>149</v>
      </c>
      <c r="BN35" t="s">
        <v>149</v>
      </c>
      <c r="BO35" t="s">
        <v>149</v>
      </c>
      <c r="BP35" t="s">
        <v>149</v>
      </c>
      <c r="BQ35" t="s">
        <v>149</v>
      </c>
      <c r="BR35" t="s">
        <v>149</v>
      </c>
      <c r="BS35" t="s">
        <v>149</v>
      </c>
      <c r="BT35" t="s">
        <v>149</v>
      </c>
      <c r="BU35" t="s">
        <v>149</v>
      </c>
      <c r="BV35" t="s">
        <v>149</v>
      </c>
      <c r="BW35" t="s">
        <v>149</v>
      </c>
      <c r="BX35" t="s">
        <v>149</v>
      </c>
      <c r="BY35" t="s">
        <v>149</v>
      </c>
      <c r="BZ35" t="s">
        <v>149</v>
      </c>
      <c r="CA35" t="s">
        <v>149</v>
      </c>
      <c r="CB35" t="s">
        <v>149</v>
      </c>
      <c r="CC35" t="s">
        <v>149</v>
      </c>
      <c r="CD35" t="s">
        <v>149</v>
      </c>
      <c r="CE35" t="s">
        <v>149</v>
      </c>
      <c r="CF35" t="s">
        <v>149</v>
      </c>
      <c r="CG35" t="s">
        <v>149</v>
      </c>
      <c r="CH35" t="s">
        <v>149</v>
      </c>
      <c r="CI35" t="s">
        <v>149</v>
      </c>
      <c r="CJ35" t="s">
        <v>149</v>
      </c>
      <c r="CK35" t="s">
        <v>149</v>
      </c>
      <c r="CL35" t="s">
        <v>149</v>
      </c>
      <c r="CM35" t="s">
        <v>149</v>
      </c>
      <c r="CN35" t="s">
        <v>149</v>
      </c>
      <c r="CO35" t="s">
        <v>149</v>
      </c>
      <c r="CP35" t="s">
        <v>149</v>
      </c>
      <c r="CQ35" t="s">
        <v>149</v>
      </c>
      <c r="CR35" t="s">
        <v>149</v>
      </c>
      <c r="CS35" t="s">
        <v>149</v>
      </c>
      <c r="CT35" t="s">
        <v>149</v>
      </c>
      <c r="CU35" t="s">
        <v>149</v>
      </c>
      <c r="CV35" t="s">
        <v>149</v>
      </c>
      <c r="CW35" t="s">
        <v>149</v>
      </c>
      <c r="CX35" t="s">
        <v>149</v>
      </c>
      <c r="CY35" t="s">
        <v>149</v>
      </c>
      <c r="CZ35" t="s">
        <v>149</v>
      </c>
      <c r="DA35" t="s">
        <v>149</v>
      </c>
      <c r="DC35" t="s">
        <v>149</v>
      </c>
    </row>
    <row r="36" spans="1:107" x14ac:dyDescent="0.25">
      <c r="A36" t="s">
        <v>149</v>
      </c>
      <c r="B36" t="s">
        <v>149</v>
      </c>
      <c r="C36" t="s">
        <v>149</v>
      </c>
      <c r="D36" t="s">
        <v>149</v>
      </c>
      <c r="E36" t="s">
        <v>149</v>
      </c>
      <c r="F36" t="s">
        <v>149</v>
      </c>
      <c r="G36" t="s">
        <v>149</v>
      </c>
      <c r="H36" t="s">
        <v>149</v>
      </c>
      <c r="I36" t="s">
        <v>149</v>
      </c>
      <c r="J36" t="s">
        <v>149</v>
      </c>
      <c r="K36" t="s">
        <v>149</v>
      </c>
      <c r="L36" t="s">
        <v>149</v>
      </c>
      <c r="M36" t="s">
        <v>149</v>
      </c>
      <c r="N36" t="s">
        <v>149</v>
      </c>
      <c r="O36" t="s">
        <v>149</v>
      </c>
      <c r="P36" t="s">
        <v>149</v>
      </c>
      <c r="Q36" t="s">
        <v>149</v>
      </c>
      <c r="R36" t="s">
        <v>149</v>
      </c>
      <c r="S36" t="s">
        <v>149</v>
      </c>
      <c r="T36" t="s">
        <v>149</v>
      </c>
      <c r="U36" t="s">
        <v>149</v>
      </c>
      <c r="V36" t="s">
        <v>149</v>
      </c>
      <c r="W36" t="s">
        <v>149</v>
      </c>
      <c r="X36" t="s">
        <v>149</v>
      </c>
      <c r="Y36" t="s">
        <v>149</v>
      </c>
      <c r="Z36" t="s">
        <v>149</v>
      </c>
      <c r="AA36" t="s">
        <v>149</v>
      </c>
      <c r="AB36" t="s">
        <v>149</v>
      </c>
      <c r="AC36" t="s">
        <v>149</v>
      </c>
      <c r="AD36" t="s">
        <v>149</v>
      </c>
      <c r="AE36" t="s">
        <v>149</v>
      </c>
      <c r="AF36" t="s">
        <v>149</v>
      </c>
      <c r="AG36" t="s">
        <v>149</v>
      </c>
      <c r="AH36" t="s">
        <v>149</v>
      </c>
      <c r="AI36" t="s">
        <v>149</v>
      </c>
      <c r="AJ36" t="s">
        <v>149</v>
      </c>
      <c r="AK36" t="s">
        <v>149</v>
      </c>
      <c r="AL36" t="s">
        <v>149</v>
      </c>
      <c r="AM36" t="s">
        <v>149</v>
      </c>
      <c r="AN36" t="s">
        <v>149</v>
      </c>
      <c r="AO36" t="s">
        <v>149</v>
      </c>
      <c r="AP36" t="s">
        <v>149</v>
      </c>
      <c r="AQ36" t="s">
        <v>149</v>
      </c>
      <c r="AR36" t="s">
        <v>149</v>
      </c>
      <c r="AS36" t="s">
        <v>149</v>
      </c>
      <c r="AT36" t="s">
        <v>149</v>
      </c>
      <c r="AU36" t="s">
        <v>149</v>
      </c>
      <c r="AV36" t="s">
        <v>149</v>
      </c>
      <c r="AW36" t="s">
        <v>149</v>
      </c>
      <c r="AX36" t="s">
        <v>149</v>
      </c>
      <c r="AY36" t="s">
        <v>149</v>
      </c>
      <c r="AZ36" t="s">
        <v>149</v>
      </c>
      <c r="BA36" t="s">
        <v>149</v>
      </c>
      <c r="BB36" t="s">
        <v>149</v>
      </c>
      <c r="BC36" t="s">
        <v>149</v>
      </c>
      <c r="BD36" t="s">
        <v>149</v>
      </c>
      <c r="BE36" t="s">
        <v>149</v>
      </c>
      <c r="BF36" t="s">
        <v>149</v>
      </c>
      <c r="BG36" t="s">
        <v>149</v>
      </c>
      <c r="BH36" t="s">
        <v>149</v>
      </c>
      <c r="BI36" t="s">
        <v>149</v>
      </c>
      <c r="BJ36" t="s">
        <v>149</v>
      </c>
      <c r="BK36" t="s">
        <v>149</v>
      </c>
      <c r="BL36" t="s">
        <v>149</v>
      </c>
      <c r="BM36" t="s">
        <v>149</v>
      </c>
      <c r="BN36" t="s">
        <v>149</v>
      </c>
      <c r="BO36" t="s">
        <v>149</v>
      </c>
      <c r="BP36" t="s">
        <v>149</v>
      </c>
      <c r="BQ36" t="s">
        <v>149</v>
      </c>
      <c r="BR36" t="s">
        <v>149</v>
      </c>
      <c r="BS36" t="s">
        <v>149</v>
      </c>
      <c r="BT36" t="s">
        <v>149</v>
      </c>
      <c r="BU36" t="s">
        <v>149</v>
      </c>
      <c r="BV36" t="s">
        <v>149</v>
      </c>
      <c r="BW36" t="s">
        <v>149</v>
      </c>
      <c r="BX36" t="s">
        <v>149</v>
      </c>
      <c r="BY36" t="s">
        <v>149</v>
      </c>
      <c r="BZ36" t="s">
        <v>149</v>
      </c>
      <c r="CA36" t="s">
        <v>149</v>
      </c>
      <c r="CB36" t="s">
        <v>149</v>
      </c>
      <c r="CC36" t="s">
        <v>149</v>
      </c>
      <c r="CD36" t="s">
        <v>149</v>
      </c>
      <c r="CE36" t="s">
        <v>149</v>
      </c>
      <c r="CF36" t="s">
        <v>149</v>
      </c>
      <c r="CG36" t="s">
        <v>149</v>
      </c>
      <c r="CH36" t="s">
        <v>149</v>
      </c>
      <c r="CI36" t="s">
        <v>149</v>
      </c>
      <c r="CJ36" t="s">
        <v>149</v>
      </c>
      <c r="CK36" t="s">
        <v>149</v>
      </c>
      <c r="CL36" t="s">
        <v>149</v>
      </c>
      <c r="CM36" t="s">
        <v>149</v>
      </c>
      <c r="CN36" t="s">
        <v>149</v>
      </c>
      <c r="CO36" t="s">
        <v>149</v>
      </c>
      <c r="CP36" t="s">
        <v>149</v>
      </c>
      <c r="CQ36" t="s">
        <v>149</v>
      </c>
      <c r="CR36" t="s">
        <v>149</v>
      </c>
      <c r="CS36" t="s">
        <v>149</v>
      </c>
      <c r="CT36" t="s">
        <v>149</v>
      </c>
      <c r="CU36" t="s">
        <v>149</v>
      </c>
      <c r="CV36" t="s">
        <v>149</v>
      </c>
      <c r="CW36" t="s">
        <v>149</v>
      </c>
      <c r="CX36" t="s">
        <v>149</v>
      </c>
      <c r="CY36" t="s">
        <v>149</v>
      </c>
      <c r="CZ36" t="s">
        <v>149</v>
      </c>
      <c r="DA36" t="s">
        <v>149</v>
      </c>
      <c r="DC36" t="s">
        <v>149</v>
      </c>
    </row>
    <row r="37" spans="1:107" x14ac:dyDescent="0.25">
      <c r="A37" t="s">
        <v>149</v>
      </c>
      <c r="B37" t="s">
        <v>149</v>
      </c>
      <c r="C37" t="s">
        <v>149</v>
      </c>
      <c r="D37" t="s">
        <v>149</v>
      </c>
      <c r="E37" t="s">
        <v>149</v>
      </c>
      <c r="F37" t="s">
        <v>149</v>
      </c>
      <c r="G37" t="s">
        <v>149</v>
      </c>
      <c r="H37" t="s">
        <v>149</v>
      </c>
      <c r="I37" t="s">
        <v>149</v>
      </c>
      <c r="J37" t="s">
        <v>149</v>
      </c>
      <c r="K37" t="s">
        <v>149</v>
      </c>
      <c r="L37" t="s">
        <v>149</v>
      </c>
      <c r="M37" t="s">
        <v>149</v>
      </c>
      <c r="N37" t="s">
        <v>149</v>
      </c>
      <c r="O37" t="s">
        <v>149</v>
      </c>
      <c r="P37" t="s">
        <v>149</v>
      </c>
      <c r="Q37" t="s">
        <v>149</v>
      </c>
      <c r="R37" t="s">
        <v>149</v>
      </c>
      <c r="S37" t="s">
        <v>149</v>
      </c>
      <c r="T37" t="s">
        <v>149</v>
      </c>
      <c r="U37" t="s">
        <v>149</v>
      </c>
      <c r="V37" t="s">
        <v>149</v>
      </c>
      <c r="W37" t="s">
        <v>149</v>
      </c>
      <c r="X37" t="s">
        <v>149</v>
      </c>
      <c r="Y37" t="s">
        <v>149</v>
      </c>
      <c r="Z37" t="s">
        <v>149</v>
      </c>
      <c r="AA37" t="s">
        <v>149</v>
      </c>
      <c r="AB37" t="s">
        <v>149</v>
      </c>
      <c r="AC37" t="s">
        <v>149</v>
      </c>
      <c r="AD37" t="s">
        <v>149</v>
      </c>
      <c r="AE37" t="s">
        <v>149</v>
      </c>
      <c r="AF37" t="s">
        <v>149</v>
      </c>
      <c r="AG37" t="s">
        <v>149</v>
      </c>
      <c r="AH37" t="s">
        <v>149</v>
      </c>
      <c r="AI37" t="s">
        <v>149</v>
      </c>
      <c r="AJ37" t="s">
        <v>149</v>
      </c>
      <c r="AK37" t="s">
        <v>149</v>
      </c>
      <c r="AL37" t="s">
        <v>149</v>
      </c>
      <c r="AM37" t="s">
        <v>149</v>
      </c>
      <c r="AN37" t="s">
        <v>149</v>
      </c>
      <c r="AO37" t="s">
        <v>149</v>
      </c>
      <c r="AP37" t="s">
        <v>149</v>
      </c>
      <c r="AQ37" t="s">
        <v>149</v>
      </c>
      <c r="AR37" t="s">
        <v>149</v>
      </c>
      <c r="AS37" t="s">
        <v>149</v>
      </c>
      <c r="AT37" t="s">
        <v>149</v>
      </c>
      <c r="AU37" t="s">
        <v>149</v>
      </c>
      <c r="AV37" t="s">
        <v>149</v>
      </c>
      <c r="AW37" t="s">
        <v>149</v>
      </c>
      <c r="AX37" t="s">
        <v>149</v>
      </c>
      <c r="AY37" t="s">
        <v>149</v>
      </c>
      <c r="AZ37" t="s">
        <v>149</v>
      </c>
      <c r="BA37" t="s">
        <v>149</v>
      </c>
      <c r="BB37" t="s">
        <v>149</v>
      </c>
      <c r="BC37" t="s">
        <v>149</v>
      </c>
      <c r="BD37" t="s">
        <v>149</v>
      </c>
      <c r="BE37" t="s">
        <v>149</v>
      </c>
      <c r="BF37" t="s">
        <v>149</v>
      </c>
      <c r="BG37" t="s">
        <v>149</v>
      </c>
      <c r="BH37" t="s">
        <v>149</v>
      </c>
      <c r="BI37" t="s">
        <v>149</v>
      </c>
      <c r="BJ37" t="s">
        <v>149</v>
      </c>
      <c r="BK37" t="s">
        <v>149</v>
      </c>
      <c r="BL37" t="s">
        <v>149</v>
      </c>
      <c r="BM37" t="s">
        <v>149</v>
      </c>
      <c r="BN37" t="s">
        <v>149</v>
      </c>
      <c r="BO37" t="s">
        <v>149</v>
      </c>
      <c r="BP37" t="s">
        <v>149</v>
      </c>
      <c r="BQ37" t="s">
        <v>149</v>
      </c>
      <c r="BR37" t="s">
        <v>149</v>
      </c>
      <c r="BS37" t="s">
        <v>149</v>
      </c>
      <c r="BT37" t="s">
        <v>149</v>
      </c>
      <c r="BU37" t="s">
        <v>149</v>
      </c>
      <c r="BV37" t="s">
        <v>149</v>
      </c>
      <c r="BW37" t="s">
        <v>149</v>
      </c>
      <c r="BX37" t="s">
        <v>149</v>
      </c>
      <c r="BY37" t="s">
        <v>149</v>
      </c>
      <c r="BZ37" t="s">
        <v>149</v>
      </c>
      <c r="CA37" t="s">
        <v>149</v>
      </c>
      <c r="CB37" t="s">
        <v>149</v>
      </c>
      <c r="CC37" t="s">
        <v>149</v>
      </c>
      <c r="CD37" t="s">
        <v>149</v>
      </c>
      <c r="CE37" t="s">
        <v>149</v>
      </c>
      <c r="CF37" t="s">
        <v>149</v>
      </c>
      <c r="CG37" t="s">
        <v>149</v>
      </c>
      <c r="CH37" t="s">
        <v>149</v>
      </c>
      <c r="CI37" t="s">
        <v>149</v>
      </c>
      <c r="CJ37" t="s">
        <v>149</v>
      </c>
      <c r="CK37" t="s">
        <v>149</v>
      </c>
      <c r="CL37" t="s">
        <v>149</v>
      </c>
      <c r="CM37" t="s">
        <v>149</v>
      </c>
      <c r="CN37" t="s">
        <v>149</v>
      </c>
      <c r="CO37" t="s">
        <v>149</v>
      </c>
      <c r="CP37" t="s">
        <v>149</v>
      </c>
      <c r="CQ37" t="s">
        <v>149</v>
      </c>
      <c r="CR37" t="s">
        <v>149</v>
      </c>
      <c r="CS37" t="s">
        <v>149</v>
      </c>
      <c r="CT37" t="s">
        <v>149</v>
      </c>
      <c r="CU37" t="s">
        <v>149</v>
      </c>
      <c r="CV37" t="s">
        <v>149</v>
      </c>
      <c r="CW37" t="s">
        <v>149</v>
      </c>
      <c r="CX37" t="s">
        <v>149</v>
      </c>
      <c r="CY37" t="s">
        <v>149</v>
      </c>
      <c r="CZ37" t="s">
        <v>149</v>
      </c>
      <c r="DA37" t="s">
        <v>149</v>
      </c>
      <c r="DC37" t="s">
        <v>149</v>
      </c>
    </row>
    <row r="38" spans="1:107" x14ac:dyDescent="0.25">
      <c r="A38" t="s">
        <v>149</v>
      </c>
      <c r="B38" t="s">
        <v>149</v>
      </c>
      <c r="C38" t="s">
        <v>149</v>
      </c>
      <c r="D38" t="s">
        <v>149</v>
      </c>
      <c r="E38" t="s">
        <v>149</v>
      </c>
      <c r="F38" t="s">
        <v>149</v>
      </c>
      <c r="G38" t="s">
        <v>149</v>
      </c>
      <c r="H38" t="s">
        <v>149</v>
      </c>
      <c r="I38" t="s">
        <v>149</v>
      </c>
      <c r="J38" t="s">
        <v>149</v>
      </c>
      <c r="K38" t="s">
        <v>149</v>
      </c>
      <c r="L38" t="s">
        <v>149</v>
      </c>
      <c r="M38" t="s">
        <v>149</v>
      </c>
      <c r="N38" t="s">
        <v>149</v>
      </c>
      <c r="O38" t="s">
        <v>149</v>
      </c>
      <c r="P38" t="s">
        <v>149</v>
      </c>
      <c r="Q38" t="s">
        <v>149</v>
      </c>
      <c r="R38" t="s">
        <v>149</v>
      </c>
      <c r="S38" t="s">
        <v>149</v>
      </c>
      <c r="T38" t="s">
        <v>149</v>
      </c>
      <c r="U38" t="s">
        <v>149</v>
      </c>
      <c r="V38" t="s">
        <v>149</v>
      </c>
      <c r="W38" t="s">
        <v>149</v>
      </c>
      <c r="X38" t="s">
        <v>149</v>
      </c>
      <c r="Y38" t="s">
        <v>149</v>
      </c>
      <c r="Z38" t="s">
        <v>149</v>
      </c>
      <c r="AA38" t="s">
        <v>149</v>
      </c>
      <c r="AB38" t="s">
        <v>149</v>
      </c>
      <c r="AC38" t="s">
        <v>149</v>
      </c>
      <c r="AD38" t="s">
        <v>149</v>
      </c>
      <c r="AE38" t="s">
        <v>149</v>
      </c>
      <c r="AF38" t="s">
        <v>149</v>
      </c>
      <c r="AG38" t="s">
        <v>149</v>
      </c>
      <c r="AH38" t="s">
        <v>149</v>
      </c>
      <c r="AI38" t="s">
        <v>149</v>
      </c>
      <c r="AJ38" t="s">
        <v>149</v>
      </c>
      <c r="AK38" t="s">
        <v>149</v>
      </c>
      <c r="AL38" t="s">
        <v>149</v>
      </c>
      <c r="AM38" t="s">
        <v>149</v>
      </c>
      <c r="AN38" t="s">
        <v>149</v>
      </c>
      <c r="AO38" t="s">
        <v>149</v>
      </c>
      <c r="AP38" t="s">
        <v>149</v>
      </c>
      <c r="AQ38" t="s">
        <v>149</v>
      </c>
      <c r="AR38" t="s">
        <v>149</v>
      </c>
      <c r="AS38" t="s">
        <v>149</v>
      </c>
      <c r="AT38" t="s">
        <v>149</v>
      </c>
      <c r="AU38" t="s">
        <v>149</v>
      </c>
      <c r="AV38" t="s">
        <v>149</v>
      </c>
      <c r="AW38" t="s">
        <v>149</v>
      </c>
      <c r="AX38" t="s">
        <v>149</v>
      </c>
      <c r="AY38" t="s">
        <v>149</v>
      </c>
      <c r="AZ38" t="s">
        <v>149</v>
      </c>
      <c r="BA38" t="s">
        <v>149</v>
      </c>
      <c r="BB38" t="s">
        <v>149</v>
      </c>
      <c r="BC38" t="s">
        <v>149</v>
      </c>
      <c r="BD38" t="s">
        <v>149</v>
      </c>
      <c r="BE38" t="s">
        <v>149</v>
      </c>
      <c r="BF38" t="s">
        <v>149</v>
      </c>
      <c r="BG38" t="s">
        <v>149</v>
      </c>
      <c r="BH38" t="s">
        <v>149</v>
      </c>
      <c r="BI38" t="s">
        <v>149</v>
      </c>
      <c r="BJ38" t="s">
        <v>149</v>
      </c>
      <c r="BK38" t="s">
        <v>149</v>
      </c>
      <c r="BL38" t="s">
        <v>149</v>
      </c>
      <c r="BM38" t="s">
        <v>149</v>
      </c>
      <c r="BN38" t="s">
        <v>149</v>
      </c>
      <c r="BO38" t="s">
        <v>149</v>
      </c>
      <c r="BP38" t="s">
        <v>149</v>
      </c>
      <c r="BQ38" t="s">
        <v>149</v>
      </c>
      <c r="BR38" t="s">
        <v>149</v>
      </c>
      <c r="BS38" t="s">
        <v>149</v>
      </c>
      <c r="BT38" t="s">
        <v>149</v>
      </c>
      <c r="BU38" t="s">
        <v>149</v>
      </c>
      <c r="BV38" t="s">
        <v>149</v>
      </c>
      <c r="BW38" t="s">
        <v>149</v>
      </c>
      <c r="BX38" t="s">
        <v>149</v>
      </c>
      <c r="BY38" t="s">
        <v>149</v>
      </c>
      <c r="BZ38" t="s">
        <v>149</v>
      </c>
      <c r="CA38" t="s">
        <v>149</v>
      </c>
      <c r="CB38" t="s">
        <v>149</v>
      </c>
      <c r="CC38" t="s">
        <v>149</v>
      </c>
      <c r="CD38" t="s">
        <v>149</v>
      </c>
      <c r="CE38" t="s">
        <v>149</v>
      </c>
      <c r="CF38" t="s">
        <v>149</v>
      </c>
      <c r="CG38" t="s">
        <v>149</v>
      </c>
      <c r="CH38" t="s">
        <v>149</v>
      </c>
      <c r="CI38" t="s">
        <v>149</v>
      </c>
      <c r="CJ38" t="s">
        <v>149</v>
      </c>
      <c r="CK38" t="s">
        <v>149</v>
      </c>
      <c r="CL38" t="s">
        <v>149</v>
      </c>
      <c r="CM38" t="s">
        <v>149</v>
      </c>
      <c r="CN38" t="s">
        <v>149</v>
      </c>
      <c r="CO38" t="s">
        <v>149</v>
      </c>
      <c r="CP38" t="s">
        <v>149</v>
      </c>
      <c r="CQ38" t="s">
        <v>149</v>
      </c>
      <c r="CR38" t="s">
        <v>149</v>
      </c>
      <c r="CS38" t="s">
        <v>149</v>
      </c>
      <c r="CT38" t="s">
        <v>149</v>
      </c>
      <c r="CU38" t="s">
        <v>149</v>
      </c>
      <c r="CV38" t="s">
        <v>149</v>
      </c>
      <c r="CW38" t="s">
        <v>149</v>
      </c>
      <c r="CX38" t="s">
        <v>149</v>
      </c>
      <c r="CY38" t="s">
        <v>149</v>
      </c>
      <c r="CZ38" t="s">
        <v>149</v>
      </c>
      <c r="DA38" t="s">
        <v>149</v>
      </c>
      <c r="DC38" t="s">
        <v>149</v>
      </c>
    </row>
    <row r="39" spans="1:107" x14ac:dyDescent="0.25">
      <c r="A39" t="s">
        <v>149</v>
      </c>
      <c r="B39" t="s">
        <v>149</v>
      </c>
      <c r="C39" t="s">
        <v>149</v>
      </c>
      <c r="D39" t="s">
        <v>149</v>
      </c>
      <c r="E39" t="s">
        <v>149</v>
      </c>
      <c r="F39" t="s">
        <v>149</v>
      </c>
      <c r="G39" t="s">
        <v>149</v>
      </c>
      <c r="H39" t="s">
        <v>149</v>
      </c>
      <c r="I39" t="s">
        <v>149</v>
      </c>
      <c r="J39" t="s">
        <v>149</v>
      </c>
      <c r="K39" t="s">
        <v>149</v>
      </c>
      <c r="L39" t="s">
        <v>149</v>
      </c>
      <c r="M39" t="s">
        <v>149</v>
      </c>
      <c r="N39" t="s">
        <v>149</v>
      </c>
      <c r="O39" t="s">
        <v>149</v>
      </c>
      <c r="P39" t="s">
        <v>149</v>
      </c>
      <c r="Q39" t="s">
        <v>149</v>
      </c>
      <c r="R39" t="s">
        <v>149</v>
      </c>
      <c r="S39" t="s">
        <v>149</v>
      </c>
      <c r="T39" t="s">
        <v>149</v>
      </c>
      <c r="U39" t="s">
        <v>149</v>
      </c>
      <c r="V39" t="s">
        <v>149</v>
      </c>
      <c r="W39" t="s">
        <v>149</v>
      </c>
      <c r="X39" t="s">
        <v>149</v>
      </c>
      <c r="Y39" t="s">
        <v>149</v>
      </c>
      <c r="Z39" t="s">
        <v>149</v>
      </c>
      <c r="AA39" t="s">
        <v>149</v>
      </c>
      <c r="AB39" t="s">
        <v>149</v>
      </c>
      <c r="AC39" t="s">
        <v>149</v>
      </c>
      <c r="AD39" t="s">
        <v>149</v>
      </c>
      <c r="AE39" t="s">
        <v>149</v>
      </c>
      <c r="AF39" t="s">
        <v>149</v>
      </c>
      <c r="AG39" t="s">
        <v>149</v>
      </c>
      <c r="AH39" t="s">
        <v>149</v>
      </c>
      <c r="AI39" t="s">
        <v>149</v>
      </c>
      <c r="AJ39" t="s">
        <v>149</v>
      </c>
      <c r="AK39" t="s">
        <v>149</v>
      </c>
      <c r="AL39" t="s">
        <v>149</v>
      </c>
      <c r="AM39" t="s">
        <v>149</v>
      </c>
      <c r="AN39" t="s">
        <v>149</v>
      </c>
      <c r="AO39" t="s">
        <v>149</v>
      </c>
      <c r="AP39" t="s">
        <v>149</v>
      </c>
      <c r="AQ39" t="s">
        <v>149</v>
      </c>
      <c r="AR39" t="s">
        <v>149</v>
      </c>
      <c r="AS39" t="s">
        <v>149</v>
      </c>
      <c r="AT39" t="s">
        <v>149</v>
      </c>
      <c r="AU39" t="s">
        <v>149</v>
      </c>
      <c r="AV39" t="s">
        <v>149</v>
      </c>
      <c r="AW39" t="s">
        <v>149</v>
      </c>
      <c r="AX39" t="s">
        <v>149</v>
      </c>
      <c r="AY39" t="s">
        <v>149</v>
      </c>
      <c r="AZ39" t="s">
        <v>149</v>
      </c>
      <c r="BA39" t="s">
        <v>149</v>
      </c>
      <c r="BB39" t="s">
        <v>149</v>
      </c>
      <c r="BC39" t="s">
        <v>149</v>
      </c>
      <c r="BD39" t="s">
        <v>149</v>
      </c>
      <c r="BE39" t="s">
        <v>149</v>
      </c>
      <c r="BF39" t="s">
        <v>149</v>
      </c>
      <c r="BG39" t="s">
        <v>149</v>
      </c>
      <c r="BH39" t="s">
        <v>149</v>
      </c>
      <c r="BI39" t="s">
        <v>149</v>
      </c>
      <c r="BJ39" t="s">
        <v>149</v>
      </c>
      <c r="BK39" t="s">
        <v>149</v>
      </c>
      <c r="BL39" t="s">
        <v>149</v>
      </c>
      <c r="BM39" t="s">
        <v>149</v>
      </c>
      <c r="BN39" t="s">
        <v>149</v>
      </c>
      <c r="BO39" t="s">
        <v>149</v>
      </c>
      <c r="BP39" t="s">
        <v>149</v>
      </c>
      <c r="BQ39" t="s">
        <v>149</v>
      </c>
      <c r="BR39" t="s">
        <v>149</v>
      </c>
      <c r="BS39" t="s">
        <v>149</v>
      </c>
      <c r="BT39" t="s">
        <v>149</v>
      </c>
      <c r="BU39" t="s">
        <v>149</v>
      </c>
      <c r="BV39" t="s">
        <v>149</v>
      </c>
      <c r="BW39" t="s">
        <v>149</v>
      </c>
      <c r="BX39" t="s">
        <v>149</v>
      </c>
      <c r="BY39" t="s">
        <v>149</v>
      </c>
      <c r="BZ39" t="s">
        <v>149</v>
      </c>
      <c r="CA39" t="s">
        <v>149</v>
      </c>
      <c r="CB39" t="s">
        <v>149</v>
      </c>
      <c r="CC39" t="s">
        <v>149</v>
      </c>
      <c r="CD39" t="s">
        <v>149</v>
      </c>
      <c r="CE39" t="s">
        <v>149</v>
      </c>
      <c r="CF39" t="s">
        <v>149</v>
      </c>
      <c r="CG39" t="s">
        <v>149</v>
      </c>
      <c r="CH39" t="s">
        <v>149</v>
      </c>
      <c r="CI39" t="s">
        <v>149</v>
      </c>
      <c r="CJ39" t="s">
        <v>149</v>
      </c>
      <c r="CK39" t="s">
        <v>149</v>
      </c>
      <c r="CL39" t="s">
        <v>149</v>
      </c>
      <c r="CM39" t="s">
        <v>149</v>
      </c>
      <c r="CN39" t="s">
        <v>149</v>
      </c>
      <c r="CO39" t="s">
        <v>149</v>
      </c>
      <c r="CP39" t="s">
        <v>149</v>
      </c>
      <c r="CQ39" t="s">
        <v>149</v>
      </c>
      <c r="CR39" t="s">
        <v>149</v>
      </c>
      <c r="CS39" t="s">
        <v>149</v>
      </c>
      <c r="CT39" t="s">
        <v>149</v>
      </c>
      <c r="CU39" t="s">
        <v>149</v>
      </c>
      <c r="CV39" t="s">
        <v>149</v>
      </c>
      <c r="CW39" t="s">
        <v>149</v>
      </c>
      <c r="CX39" t="s">
        <v>149</v>
      </c>
      <c r="CY39" t="s">
        <v>149</v>
      </c>
      <c r="CZ39" t="s">
        <v>149</v>
      </c>
      <c r="DA39" t="s">
        <v>149</v>
      </c>
      <c r="DC39" t="s">
        <v>149</v>
      </c>
    </row>
    <row r="42" spans="1:107" x14ac:dyDescent="0.25">
      <c r="A42" s="2" t="s">
        <v>17</v>
      </c>
      <c r="B42" t="s">
        <v>8</v>
      </c>
      <c r="E42" s="41" t="e">
        <f>IF(ISNUMBER(FIND("R",$B$16)),(E16-E1)^2,(E17-E1)^2)</f>
        <v>#VALUE!</v>
      </c>
      <c r="F42" s="41" t="e">
        <f t="shared" ref="F42:BQ42" si="0">IF(ISNUMBER(FIND("R",$B$16)),(F16-F1)^2,(F17-F1)^2)</f>
        <v>#VALUE!</v>
      </c>
      <c r="G42" s="41" t="e">
        <f t="shared" si="0"/>
        <v>#VALUE!</v>
      </c>
      <c r="H42" s="41" t="e">
        <f t="shared" si="0"/>
        <v>#VALUE!</v>
      </c>
      <c r="I42" s="41" t="e">
        <f t="shared" si="0"/>
        <v>#VALUE!</v>
      </c>
      <c r="J42" s="41" t="e">
        <f t="shared" si="0"/>
        <v>#VALUE!</v>
      </c>
      <c r="K42" s="41" t="e">
        <f t="shared" si="0"/>
        <v>#VALUE!</v>
      </c>
      <c r="L42" s="41" t="e">
        <f t="shared" si="0"/>
        <v>#VALUE!</v>
      </c>
      <c r="M42" s="41" t="e">
        <f t="shared" si="0"/>
        <v>#VALUE!</v>
      </c>
      <c r="N42" s="41" t="e">
        <f t="shared" si="0"/>
        <v>#VALUE!</v>
      </c>
      <c r="O42" s="41" t="e">
        <f t="shared" si="0"/>
        <v>#VALUE!</v>
      </c>
      <c r="P42" s="41" t="e">
        <f t="shared" si="0"/>
        <v>#VALUE!</v>
      </c>
      <c r="Q42" s="41" t="e">
        <f t="shared" si="0"/>
        <v>#VALUE!</v>
      </c>
      <c r="R42" s="41" t="e">
        <f t="shared" si="0"/>
        <v>#VALUE!</v>
      </c>
      <c r="S42" s="41" t="e">
        <f t="shared" si="0"/>
        <v>#VALUE!</v>
      </c>
      <c r="T42" s="41" t="e">
        <f t="shared" si="0"/>
        <v>#VALUE!</v>
      </c>
      <c r="U42" s="41" t="e">
        <f t="shared" si="0"/>
        <v>#VALUE!</v>
      </c>
      <c r="V42" s="41" t="e">
        <f t="shared" si="0"/>
        <v>#VALUE!</v>
      </c>
      <c r="W42" s="41" t="e">
        <f t="shared" si="0"/>
        <v>#VALUE!</v>
      </c>
      <c r="X42" s="41" t="e">
        <f t="shared" si="0"/>
        <v>#VALUE!</v>
      </c>
      <c r="Y42" s="41" t="e">
        <f t="shared" si="0"/>
        <v>#VALUE!</v>
      </c>
      <c r="Z42" s="41" t="e">
        <f t="shared" si="0"/>
        <v>#VALUE!</v>
      </c>
      <c r="AA42" s="41" t="e">
        <f t="shared" si="0"/>
        <v>#VALUE!</v>
      </c>
      <c r="AB42" s="41" t="e">
        <f t="shared" si="0"/>
        <v>#VALUE!</v>
      </c>
      <c r="AC42" s="41" t="e">
        <f t="shared" si="0"/>
        <v>#VALUE!</v>
      </c>
      <c r="AD42" s="41" t="e">
        <f t="shared" si="0"/>
        <v>#VALUE!</v>
      </c>
      <c r="AE42" s="41" t="e">
        <f t="shared" si="0"/>
        <v>#VALUE!</v>
      </c>
      <c r="AF42" s="41" t="e">
        <f t="shared" si="0"/>
        <v>#VALUE!</v>
      </c>
      <c r="AG42" s="41" t="e">
        <f t="shared" si="0"/>
        <v>#VALUE!</v>
      </c>
      <c r="AH42" s="41" t="e">
        <f t="shared" si="0"/>
        <v>#VALUE!</v>
      </c>
      <c r="AI42" s="41" t="e">
        <f t="shared" si="0"/>
        <v>#VALUE!</v>
      </c>
      <c r="AJ42" s="41" t="e">
        <f t="shared" si="0"/>
        <v>#VALUE!</v>
      </c>
      <c r="AK42" s="41" t="e">
        <f t="shared" si="0"/>
        <v>#VALUE!</v>
      </c>
      <c r="AL42" s="41" t="e">
        <f t="shared" si="0"/>
        <v>#VALUE!</v>
      </c>
      <c r="AM42" s="41" t="e">
        <f t="shared" si="0"/>
        <v>#VALUE!</v>
      </c>
      <c r="AN42" s="41" t="e">
        <f t="shared" si="0"/>
        <v>#VALUE!</v>
      </c>
      <c r="AO42" s="41" t="e">
        <f t="shared" si="0"/>
        <v>#VALUE!</v>
      </c>
      <c r="AP42" s="41" t="e">
        <f t="shared" si="0"/>
        <v>#VALUE!</v>
      </c>
      <c r="AQ42" s="41" t="e">
        <f t="shared" si="0"/>
        <v>#VALUE!</v>
      </c>
      <c r="AR42" s="41" t="e">
        <f t="shared" si="0"/>
        <v>#VALUE!</v>
      </c>
      <c r="AS42" s="41" t="e">
        <f t="shared" si="0"/>
        <v>#VALUE!</v>
      </c>
      <c r="AT42" s="41" t="e">
        <f t="shared" si="0"/>
        <v>#VALUE!</v>
      </c>
      <c r="AU42" s="41" t="e">
        <f t="shared" si="0"/>
        <v>#VALUE!</v>
      </c>
      <c r="AV42" s="41" t="e">
        <f t="shared" si="0"/>
        <v>#VALUE!</v>
      </c>
      <c r="AW42" s="41" t="e">
        <f t="shared" si="0"/>
        <v>#VALUE!</v>
      </c>
      <c r="AX42" s="41" t="e">
        <f t="shared" si="0"/>
        <v>#VALUE!</v>
      </c>
      <c r="AY42" s="41" t="e">
        <f t="shared" si="0"/>
        <v>#VALUE!</v>
      </c>
      <c r="AZ42" s="41" t="e">
        <f t="shared" si="0"/>
        <v>#VALUE!</v>
      </c>
      <c r="BA42" s="41" t="e">
        <f t="shared" si="0"/>
        <v>#VALUE!</v>
      </c>
      <c r="BB42" s="41" t="e">
        <f t="shared" si="0"/>
        <v>#VALUE!</v>
      </c>
      <c r="BC42" s="41" t="e">
        <f t="shared" si="0"/>
        <v>#VALUE!</v>
      </c>
      <c r="BD42" s="41" t="e">
        <f t="shared" si="0"/>
        <v>#VALUE!</v>
      </c>
      <c r="BE42" s="41" t="e">
        <f t="shared" si="0"/>
        <v>#VALUE!</v>
      </c>
      <c r="BF42" s="41" t="e">
        <f t="shared" si="0"/>
        <v>#VALUE!</v>
      </c>
      <c r="BG42" s="41" t="e">
        <f t="shared" si="0"/>
        <v>#VALUE!</v>
      </c>
      <c r="BH42" s="41" t="e">
        <f t="shared" si="0"/>
        <v>#VALUE!</v>
      </c>
      <c r="BI42" s="41" t="e">
        <f t="shared" si="0"/>
        <v>#VALUE!</v>
      </c>
      <c r="BJ42" s="41" t="e">
        <f t="shared" si="0"/>
        <v>#VALUE!</v>
      </c>
      <c r="BK42" s="41" t="e">
        <f t="shared" si="0"/>
        <v>#VALUE!</v>
      </c>
      <c r="BL42" s="41" t="e">
        <f t="shared" si="0"/>
        <v>#VALUE!</v>
      </c>
      <c r="BM42" s="41" t="e">
        <f t="shared" si="0"/>
        <v>#VALUE!</v>
      </c>
      <c r="BN42" s="41" t="e">
        <f t="shared" si="0"/>
        <v>#VALUE!</v>
      </c>
      <c r="BO42" s="41" t="e">
        <f t="shared" si="0"/>
        <v>#VALUE!</v>
      </c>
      <c r="BP42" s="41" t="e">
        <f t="shared" si="0"/>
        <v>#VALUE!</v>
      </c>
      <c r="BQ42" s="41" t="e">
        <f t="shared" si="0"/>
        <v>#VALUE!</v>
      </c>
      <c r="BR42" s="41" t="e">
        <f t="shared" ref="BR42:DA42" si="1">IF(ISNUMBER(FIND("R",$B$16)),(BR16-BR1)^2,(BR17-BR1)^2)</f>
        <v>#VALUE!</v>
      </c>
      <c r="BS42" s="41" t="e">
        <f t="shared" si="1"/>
        <v>#VALUE!</v>
      </c>
      <c r="BT42" s="41" t="e">
        <f t="shared" si="1"/>
        <v>#VALUE!</v>
      </c>
      <c r="BU42" s="41" t="e">
        <f t="shared" si="1"/>
        <v>#VALUE!</v>
      </c>
      <c r="BV42" s="41" t="e">
        <f t="shared" si="1"/>
        <v>#VALUE!</v>
      </c>
      <c r="BW42" s="41" t="e">
        <f t="shared" si="1"/>
        <v>#VALUE!</v>
      </c>
      <c r="BX42" s="41" t="e">
        <f t="shared" si="1"/>
        <v>#VALUE!</v>
      </c>
      <c r="BY42" s="41" t="e">
        <f t="shared" si="1"/>
        <v>#VALUE!</v>
      </c>
      <c r="BZ42" s="41" t="e">
        <f t="shared" si="1"/>
        <v>#VALUE!</v>
      </c>
      <c r="CA42" s="41" t="e">
        <f t="shared" si="1"/>
        <v>#VALUE!</v>
      </c>
      <c r="CB42" s="41" t="e">
        <f t="shared" si="1"/>
        <v>#VALUE!</v>
      </c>
      <c r="CC42" s="41" t="e">
        <f t="shared" si="1"/>
        <v>#VALUE!</v>
      </c>
      <c r="CD42" s="41" t="e">
        <f t="shared" si="1"/>
        <v>#VALUE!</v>
      </c>
      <c r="CE42" s="41" t="e">
        <f t="shared" si="1"/>
        <v>#VALUE!</v>
      </c>
      <c r="CF42" s="41" t="e">
        <f t="shared" si="1"/>
        <v>#VALUE!</v>
      </c>
      <c r="CG42" s="41" t="e">
        <f t="shared" si="1"/>
        <v>#VALUE!</v>
      </c>
      <c r="CH42" s="41" t="e">
        <f t="shared" si="1"/>
        <v>#VALUE!</v>
      </c>
      <c r="CI42" s="41" t="e">
        <f t="shared" si="1"/>
        <v>#VALUE!</v>
      </c>
      <c r="CJ42" s="41" t="e">
        <f t="shared" si="1"/>
        <v>#VALUE!</v>
      </c>
      <c r="CK42" s="41" t="e">
        <f t="shared" si="1"/>
        <v>#VALUE!</v>
      </c>
      <c r="CL42" s="41" t="e">
        <f t="shared" si="1"/>
        <v>#VALUE!</v>
      </c>
      <c r="CM42" s="41" t="e">
        <f t="shared" si="1"/>
        <v>#VALUE!</v>
      </c>
      <c r="CN42" s="41" t="e">
        <f t="shared" si="1"/>
        <v>#VALUE!</v>
      </c>
      <c r="CO42" s="41" t="e">
        <f t="shared" si="1"/>
        <v>#VALUE!</v>
      </c>
      <c r="CP42" s="41" t="e">
        <f t="shared" si="1"/>
        <v>#VALUE!</v>
      </c>
      <c r="CQ42" s="41" t="e">
        <f t="shared" si="1"/>
        <v>#VALUE!</v>
      </c>
      <c r="CR42" s="41" t="e">
        <f t="shared" si="1"/>
        <v>#VALUE!</v>
      </c>
      <c r="CS42" s="41" t="e">
        <f t="shared" si="1"/>
        <v>#VALUE!</v>
      </c>
      <c r="CT42" s="41" t="e">
        <f t="shared" si="1"/>
        <v>#VALUE!</v>
      </c>
      <c r="CU42" s="41" t="e">
        <f t="shared" si="1"/>
        <v>#VALUE!</v>
      </c>
      <c r="CV42" s="41" t="e">
        <f t="shared" si="1"/>
        <v>#VALUE!</v>
      </c>
      <c r="CW42" s="41" t="e">
        <f t="shared" si="1"/>
        <v>#VALUE!</v>
      </c>
      <c r="CX42" s="41" t="e">
        <f t="shared" si="1"/>
        <v>#VALUE!</v>
      </c>
      <c r="CY42" s="41" t="e">
        <f t="shared" si="1"/>
        <v>#VALUE!</v>
      </c>
      <c r="CZ42" s="41" t="e">
        <f t="shared" si="1"/>
        <v>#VALUE!</v>
      </c>
      <c r="DA42" s="41" t="e">
        <f t="shared" si="1"/>
        <v>#VALUE!</v>
      </c>
    </row>
    <row r="43" spans="1:107" x14ac:dyDescent="0.25">
      <c r="B43" t="s">
        <v>7</v>
      </c>
      <c r="E43" s="41" t="e">
        <f>IF(ISNUMBER(FIND("R",$B$16)),(E17-E1)^2,(E16-E1)^2)</f>
        <v>#VALUE!</v>
      </c>
      <c r="F43" s="41" t="e">
        <f t="shared" ref="F43:BQ43" si="2">IF(ISNUMBER(FIND("R",$B$16)),(F17-F1)^2,(F16-F1)^2)</f>
        <v>#VALUE!</v>
      </c>
      <c r="G43" s="41" t="e">
        <f t="shared" si="2"/>
        <v>#VALUE!</v>
      </c>
      <c r="H43" s="41" t="e">
        <f t="shared" si="2"/>
        <v>#VALUE!</v>
      </c>
      <c r="I43" s="41" t="e">
        <f t="shared" si="2"/>
        <v>#VALUE!</v>
      </c>
      <c r="J43" s="41" t="e">
        <f t="shared" si="2"/>
        <v>#VALUE!</v>
      </c>
      <c r="K43" s="41" t="e">
        <f t="shared" si="2"/>
        <v>#VALUE!</v>
      </c>
      <c r="L43" s="41" t="e">
        <f t="shared" si="2"/>
        <v>#VALUE!</v>
      </c>
      <c r="M43" s="41" t="e">
        <f t="shared" si="2"/>
        <v>#VALUE!</v>
      </c>
      <c r="N43" s="41" t="e">
        <f t="shared" si="2"/>
        <v>#VALUE!</v>
      </c>
      <c r="O43" s="41" t="e">
        <f t="shared" si="2"/>
        <v>#VALUE!</v>
      </c>
      <c r="P43" s="41" t="e">
        <f t="shared" si="2"/>
        <v>#VALUE!</v>
      </c>
      <c r="Q43" s="41" t="e">
        <f t="shared" si="2"/>
        <v>#VALUE!</v>
      </c>
      <c r="R43" s="41" t="e">
        <f t="shared" si="2"/>
        <v>#VALUE!</v>
      </c>
      <c r="S43" s="41" t="e">
        <f t="shared" si="2"/>
        <v>#VALUE!</v>
      </c>
      <c r="T43" s="41" t="e">
        <f t="shared" si="2"/>
        <v>#VALUE!</v>
      </c>
      <c r="U43" s="41" t="e">
        <f t="shared" si="2"/>
        <v>#VALUE!</v>
      </c>
      <c r="V43" s="41" t="e">
        <f t="shared" si="2"/>
        <v>#VALUE!</v>
      </c>
      <c r="W43" s="41" t="e">
        <f t="shared" si="2"/>
        <v>#VALUE!</v>
      </c>
      <c r="X43" s="41" t="e">
        <f t="shared" si="2"/>
        <v>#VALUE!</v>
      </c>
      <c r="Y43" s="41" t="e">
        <f t="shared" si="2"/>
        <v>#VALUE!</v>
      </c>
      <c r="Z43" s="41" t="e">
        <f t="shared" si="2"/>
        <v>#VALUE!</v>
      </c>
      <c r="AA43" s="41" t="e">
        <f t="shared" si="2"/>
        <v>#VALUE!</v>
      </c>
      <c r="AB43" s="41" t="e">
        <f t="shared" si="2"/>
        <v>#VALUE!</v>
      </c>
      <c r="AC43" s="41" t="e">
        <f t="shared" si="2"/>
        <v>#VALUE!</v>
      </c>
      <c r="AD43" s="41" t="e">
        <f t="shared" si="2"/>
        <v>#VALUE!</v>
      </c>
      <c r="AE43" s="41" t="e">
        <f t="shared" si="2"/>
        <v>#VALUE!</v>
      </c>
      <c r="AF43" s="41" t="e">
        <f t="shared" si="2"/>
        <v>#VALUE!</v>
      </c>
      <c r="AG43" s="41" t="e">
        <f t="shared" si="2"/>
        <v>#VALUE!</v>
      </c>
      <c r="AH43" s="41" t="e">
        <f t="shared" si="2"/>
        <v>#VALUE!</v>
      </c>
      <c r="AI43" s="41" t="e">
        <f t="shared" si="2"/>
        <v>#VALUE!</v>
      </c>
      <c r="AJ43" s="41" t="e">
        <f t="shared" si="2"/>
        <v>#VALUE!</v>
      </c>
      <c r="AK43" s="41" t="e">
        <f t="shared" si="2"/>
        <v>#VALUE!</v>
      </c>
      <c r="AL43" s="41" t="e">
        <f t="shared" si="2"/>
        <v>#VALUE!</v>
      </c>
      <c r="AM43" s="41" t="e">
        <f t="shared" si="2"/>
        <v>#VALUE!</v>
      </c>
      <c r="AN43" s="41" t="e">
        <f t="shared" si="2"/>
        <v>#VALUE!</v>
      </c>
      <c r="AO43" s="41" t="e">
        <f t="shared" si="2"/>
        <v>#VALUE!</v>
      </c>
      <c r="AP43" s="41" t="e">
        <f t="shared" si="2"/>
        <v>#VALUE!</v>
      </c>
      <c r="AQ43" s="41" t="e">
        <f t="shared" si="2"/>
        <v>#VALUE!</v>
      </c>
      <c r="AR43" s="41" t="e">
        <f t="shared" si="2"/>
        <v>#VALUE!</v>
      </c>
      <c r="AS43" s="41" t="e">
        <f t="shared" si="2"/>
        <v>#VALUE!</v>
      </c>
      <c r="AT43" s="41" t="e">
        <f t="shared" si="2"/>
        <v>#VALUE!</v>
      </c>
      <c r="AU43" s="41" t="e">
        <f t="shared" si="2"/>
        <v>#VALUE!</v>
      </c>
      <c r="AV43" s="41" t="e">
        <f t="shared" si="2"/>
        <v>#VALUE!</v>
      </c>
      <c r="AW43" s="41" t="e">
        <f t="shared" si="2"/>
        <v>#VALUE!</v>
      </c>
      <c r="AX43" s="41" t="e">
        <f t="shared" si="2"/>
        <v>#VALUE!</v>
      </c>
      <c r="AY43" s="41" t="e">
        <f t="shared" si="2"/>
        <v>#VALUE!</v>
      </c>
      <c r="AZ43" s="41" t="e">
        <f t="shared" si="2"/>
        <v>#VALUE!</v>
      </c>
      <c r="BA43" s="41" t="e">
        <f t="shared" si="2"/>
        <v>#VALUE!</v>
      </c>
      <c r="BB43" s="41" t="e">
        <f t="shared" si="2"/>
        <v>#VALUE!</v>
      </c>
      <c r="BC43" s="41" t="e">
        <f t="shared" si="2"/>
        <v>#VALUE!</v>
      </c>
      <c r="BD43" s="41" t="e">
        <f t="shared" si="2"/>
        <v>#VALUE!</v>
      </c>
      <c r="BE43" s="41" t="e">
        <f t="shared" si="2"/>
        <v>#VALUE!</v>
      </c>
      <c r="BF43" s="41" t="e">
        <f t="shared" si="2"/>
        <v>#VALUE!</v>
      </c>
      <c r="BG43" s="41" t="e">
        <f t="shared" si="2"/>
        <v>#VALUE!</v>
      </c>
      <c r="BH43" s="41" t="e">
        <f t="shared" si="2"/>
        <v>#VALUE!</v>
      </c>
      <c r="BI43" s="41" t="e">
        <f t="shared" si="2"/>
        <v>#VALUE!</v>
      </c>
      <c r="BJ43" s="41" t="e">
        <f t="shared" si="2"/>
        <v>#VALUE!</v>
      </c>
      <c r="BK43" s="41" t="e">
        <f t="shared" si="2"/>
        <v>#VALUE!</v>
      </c>
      <c r="BL43" s="41" t="e">
        <f t="shared" si="2"/>
        <v>#VALUE!</v>
      </c>
      <c r="BM43" s="41" t="e">
        <f t="shared" si="2"/>
        <v>#VALUE!</v>
      </c>
      <c r="BN43" s="41" t="e">
        <f t="shared" si="2"/>
        <v>#VALUE!</v>
      </c>
      <c r="BO43" s="41" t="e">
        <f t="shared" si="2"/>
        <v>#VALUE!</v>
      </c>
      <c r="BP43" s="41" t="e">
        <f t="shared" si="2"/>
        <v>#VALUE!</v>
      </c>
      <c r="BQ43" s="41" t="e">
        <f t="shared" si="2"/>
        <v>#VALUE!</v>
      </c>
      <c r="BR43" s="41" t="e">
        <f t="shared" ref="BR43:DA43" si="3">IF(ISNUMBER(FIND("R",$B$16)),(BR17-BR1)^2,(BR16-BR1)^2)</f>
        <v>#VALUE!</v>
      </c>
      <c r="BS43" s="41" t="e">
        <f t="shared" si="3"/>
        <v>#VALUE!</v>
      </c>
      <c r="BT43" s="41" t="e">
        <f t="shared" si="3"/>
        <v>#VALUE!</v>
      </c>
      <c r="BU43" s="41" t="e">
        <f t="shared" si="3"/>
        <v>#VALUE!</v>
      </c>
      <c r="BV43" s="41" t="e">
        <f t="shared" si="3"/>
        <v>#VALUE!</v>
      </c>
      <c r="BW43" s="41" t="e">
        <f t="shared" si="3"/>
        <v>#VALUE!</v>
      </c>
      <c r="BX43" s="41" t="e">
        <f t="shared" si="3"/>
        <v>#VALUE!</v>
      </c>
      <c r="BY43" s="41" t="e">
        <f t="shared" si="3"/>
        <v>#VALUE!</v>
      </c>
      <c r="BZ43" s="41" t="e">
        <f t="shared" si="3"/>
        <v>#VALUE!</v>
      </c>
      <c r="CA43" s="41" t="e">
        <f t="shared" si="3"/>
        <v>#VALUE!</v>
      </c>
      <c r="CB43" s="41" t="e">
        <f t="shared" si="3"/>
        <v>#VALUE!</v>
      </c>
      <c r="CC43" s="41" t="e">
        <f t="shared" si="3"/>
        <v>#VALUE!</v>
      </c>
      <c r="CD43" s="41" t="e">
        <f t="shared" si="3"/>
        <v>#VALUE!</v>
      </c>
      <c r="CE43" s="41" t="e">
        <f t="shared" si="3"/>
        <v>#VALUE!</v>
      </c>
      <c r="CF43" s="41" t="e">
        <f t="shared" si="3"/>
        <v>#VALUE!</v>
      </c>
      <c r="CG43" s="41" t="e">
        <f t="shared" si="3"/>
        <v>#VALUE!</v>
      </c>
      <c r="CH43" s="41" t="e">
        <f t="shared" si="3"/>
        <v>#VALUE!</v>
      </c>
      <c r="CI43" s="41" t="e">
        <f t="shared" si="3"/>
        <v>#VALUE!</v>
      </c>
      <c r="CJ43" s="41" t="e">
        <f t="shared" si="3"/>
        <v>#VALUE!</v>
      </c>
      <c r="CK43" s="41" t="e">
        <f t="shared" si="3"/>
        <v>#VALUE!</v>
      </c>
      <c r="CL43" s="41" t="e">
        <f t="shared" si="3"/>
        <v>#VALUE!</v>
      </c>
      <c r="CM43" s="41" t="e">
        <f t="shared" si="3"/>
        <v>#VALUE!</v>
      </c>
      <c r="CN43" s="41" t="e">
        <f t="shared" si="3"/>
        <v>#VALUE!</v>
      </c>
      <c r="CO43" s="41" t="e">
        <f t="shared" si="3"/>
        <v>#VALUE!</v>
      </c>
      <c r="CP43" s="41" t="e">
        <f t="shared" si="3"/>
        <v>#VALUE!</v>
      </c>
      <c r="CQ43" s="41" t="e">
        <f t="shared" si="3"/>
        <v>#VALUE!</v>
      </c>
      <c r="CR43" s="41" t="e">
        <f t="shared" si="3"/>
        <v>#VALUE!</v>
      </c>
      <c r="CS43" s="41" t="e">
        <f t="shared" si="3"/>
        <v>#VALUE!</v>
      </c>
      <c r="CT43" s="41" t="e">
        <f t="shared" si="3"/>
        <v>#VALUE!</v>
      </c>
      <c r="CU43" s="41" t="e">
        <f t="shared" si="3"/>
        <v>#VALUE!</v>
      </c>
      <c r="CV43" s="41" t="e">
        <f t="shared" si="3"/>
        <v>#VALUE!</v>
      </c>
      <c r="CW43" s="41" t="e">
        <f t="shared" si="3"/>
        <v>#VALUE!</v>
      </c>
      <c r="CX43" s="41" t="e">
        <f t="shared" si="3"/>
        <v>#VALUE!</v>
      </c>
      <c r="CY43" s="41" t="e">
        <f t="shared" si="3"/>
        <v>#VALUE!</v>
      </c>
      <c r="CZ43" s="41" t="e">
        <f t="shared" si="3"/>
        <v>#VALUE!</v>
      </c>
      <c r="DA43" s="41" t="e">
        <f t="shared" si="3"/>
        <v>#VALUE!</v>
      </c>
    </row>
    <row r="44" spans="1:107" x14ac:dyDescent="0.25">
      <c r="B44" t="s">
        <v>10</v>
      </c>
      <c r="E44" s="41" t="e">
        <f>IF(ISNUMBER(FIND("R",$B$16)),(E18-E2)^2,(E19-E2)^2)</f>
        <v>#VALUE!</v>
      </c>
      <c r="F44" s="41" t="e">
        <f t="shared" ref="F44:BQ44" si="4">IF(ISNUMBER(FIND("R",$B$16)),(F18-F2)^2,(F19-F2)^2)</f>
        <v>#VALUE!</v>
      </c>
      <c r="G44" s="41" t="e">
        <f t="shared" si="4"/>
        <v>#VALUE!</v>
      </c>
      <c r="H44" s="41" t="e">
        <f t="shared" si="4"/>
        <v>#VALUE!</v>
      </c>
      <c r="I44" s="41" t="e">
        <f t="shared" si="4"/>
        <v>#VALUE!</v>
      </c>
      <c r="J44" s="41" t="e">
        <f t="shared" si="4"/>
        <v>#VALUE!</v>
      </c>
      <c r="K44" s="41" t="e">
        <f t="shared" si="4"/>
        <v>#VALUE!</v>
      </c>
      <c r="L44" s="41" t="e">
        <f t="shared" si="4"/>
        <v>#VALUE!</v>
      </c>
      <c r="M44" s="41" t="e">
        <f t="shared" si="4"/>
        <v>#VALUE!</v>
      </c>
      <c r="N44" s="41" t="e">
        <f t="shared" si="4"/>
        <v>#VALUE!</v>
      </c>
      <c r="O44" s="41" t="e">
        <f t="shared" si="4"/>
        <v>#VALUE!</v>
      </c>
      <c r="P44" s="41" t="e">
        <f t="shared" si="4"/>
        <v>#VALUE!</v>
      </c>
      <c r="Q44" s="41" t="e">
        <f t="shared" si="4"/>
        <v>#VALUE!</v>
      </c>
      <c r="R44" s="41" t="e">
        <f t="shared" si="4"/>
        <v>#VALUE!</v>
      </c>
      <c r="S44" s="41" t="e">
        <f t="shared" si="4"/>
        <v>#VALUE!</v>
      </c>
      <c r="T44" s="41" t="e">
        <f t="shared" si="4"/>
        <v>#VALUE!</v>
      </c>
      <c r="U44" s="41" t="e">
        <f t="shared" si="4"/>
        <v>#VALUE!</v>
      </c>
      <c r="V44" s="41" t="e">
        <f t="shared" si="4"/>
        <v>#VALUE!</v>
      </c>
      <c r="W44" s="41" t="e">
        <f t="shared" si="4"/>
        <v>#VALUE!</v>
      </c>
      <c r="X44" s="41" t="e">
        <f t="shared" si="4"/>
        <v>#VALUE!</v>
      </c>
      <c r="Y44" s="41" t="e">
        <f t="shared" si="4"/>
        <v>#VALUE!</v>
      </c>
      <c r="Z44" s="41" t="e">
        <f t="shared" si="4"/>
        <v>#VALUE!</v>
      </c>
      <c r="AA44" s="41" t="e">
        <f t="shared" si="4"/>
        <v>#VALUE!</v>
      </c>
      <c r="AB44" s="41" t="e">
        <f t="shared" si="4"/>
        <v>#VALUE!</v>
      </c>
      <c r="AC44" s="41" t="e">
        <f t="shared" si="4"/>
        <v>#VALUE!</v>
      </c>
      <c r="AD44" s="41" t="e">
        <f t="shared" si="4"/>
        <v>#VALUE!</v>
      </c>
      <c r="AE44" s="41" t="e">
        <f t="shared" si="4"/>
        <v>#VALUE!</v>
      </c>
      <c r="AF44" s="41" t="e">
        <f t="shared" si="4"/>
        <v>#VALUE!</v>
      </c>
      <c r="AG44" s="41" t="e">
        <f t="shared" si="4"/>
        <v>#VALUE!</v>
      </c>
      <c r="AH44" s="41" t="e">
        <f t="shared" si="4"/>
        <v>#VALUE!</v>
      </c>
      <c r="AI44" s="41" t="e">
        <f t="shared" si="4"/>
        <v>#VALUE!</v>
      </c>
      <c r="AJ44" s="41" t="e">
        <f t="shared" si="4"/>
        <v>#VALUE!</v>
      </c>
      <c r="AK44" s="41" t="e">
        <f t="shared" si="4"/>
        <v>#VALUE!</v>
      </c>
      <c r="AL44" s="41" t="e">
        <f t="shared" si="4"/>
        <v>#VALUE!</v>
      </c>
      <c r="AM44" s="41" t="e">
        <f t="shared" si="4"/>
        <v>#VALUE!</v>
      </c>
      <c r="AN44" s="41" t="e">
        <f t="shared" si="4"/>
        <v>#VALUE!</v>
      </c>
      <c r="AO44" s="41" t="e">
        <f t="shared" si="4"/>
        <v>#VALUE!</v>
      </c>
      <c r="AP44" s="41" t="e">
        <f t="shared" si="4"/>
        <v>#VALUE!</v>
      </c>
      <c r="AQ44" s="41" t="e">
        <f t="shared" si="4"/>
        <v>#VALUE!</v>
      </c>
      <c r="AR44" s="41" t="e">
        <f t="shared" si="4"/>
        <v>#VALUE!</v>
      </c>
      <c r="AS44" s="41" t="e">
        <f t="shared" si="4"/>
        <v>#VALUE!</v>
      </c>
      <c r="AT44" s="41" t="e">
        <f t="shared" si="4"/>
        <v>#VALUE!</v>
      </c>
      <c r="AU44" s="41" t="e">
        <f t="shared" si="4"/>
        <v>#VALUE!</v>
      </c>
      <c r="AV44" s="41" t="e">
        <f t="shared" si="4"/>
        <v>#VALUE!</v>
      </c>
      <c r="AW44" s="41" t="e">
        <f t="shared" si="4"/>
        <v>#VALUE!</v>
      </c>
      <c r="AX44" s="41" t="e">
        <f t="shared" si="4"/>
        <v>#VALUE!</v>
      </c>
      <c r="AY44" s="41" t="e">
        <f t="shared" si="4"/>
        <v>#VALUE!</v>
      </c>
      <c r="AZ44" s="41" t="e">
        <f t="shared" si="4"/>
        <v>#VALUE!</v>
      </c>
      <c r="BA44" s="41" t="e">
        <f t="shared" si="4"/>
        <v>#VALUE!</v>
      </c>
      <c r="BB44" s="41" t="e">
        <f t="shared" si="4"/>
        <v>#VALUE!</v>
      </c>
      <c r="BC44" s="41" t="e">
        <f t="shared" si="4"/>
        <v>#VALUE!</v>
      </c>
      <c r="BD44" s="41" t="e">
        <f t="shared" si="4"/>
        <v>#VALUE!</v>
      </c>
      <c r="BE44" s="41" t="e">
        <f t="shared" si="4"/>
        <v>#VALUE!</v>
      </c>
      <c r="BF44" s="41" t="e">
        <f t="shared" si="4"/>
        <v>#VALUE!</v>
      </c>
      <c r="BG44" s="41" t="e">
        <f t="shared" si="4"/>
        <v>#VALUE!</v>
      </c>
      <c r="BH44" s="41" t="e">
        <f t="shared" si="4"/>
        <v>#VALUE!</v>
      </c>
      <c r="BI44" s="41" t="e">
        <f t="shared" si="4"/>
        <v>#VALUE!</v>
      </c>
      <c r="BJ44" s="41" t="e">
        <f t="shared" si="4"/>
        <v>#VALUE!</v>
      </c>
      <c r="BK44" s="41" t="e">
        <f t="shared" si="4"/>
        <v>#VALUE!</v>
      </c>
      <c r="BL44" s="41" t="e">
        <f t="shared" si="4"/>
        <v>#VALUE!</v>
      </c>
      <c r="BM44" s="41" t="e">
        <f t="shared" si="4"/>
        <v>#VALUE!</v>
      </c>
      <c r="BN44" s="41" t="e">
        <f t="shared" si="4"/>
        <v>#VALUE!</v>
      </c>
      <c r="BO44" s="41" t="e">
        <f t="shared" si="4"/>
        <v>#VALUE!</v>
      </c>
      <c r="BP44" s="41" t="e">
        <f t="shared" si="4"/>
        <v>#VALUE!</v>
      </c>
      <c r="BQ44" s="41" t="e">
        <f t="shared" si="4"/>
        <v>#VALUE!</v>
      </c>
      <c r="BR44" s="41" t="e">
        <f t="shared" ref="BR44:DA44" si="5">IF(ISNUMBER(FIND("R",$B$16)),(BR18-BR2)^2,(BR19-BR2)^2)</f>
        <v>#VALUE!</v>
      </c>
      <c r="BS44" s="41" t="e">
        <f t="shared" si="5"/>
        <v>#VALUE!</v>
      </c>
      <c r="BT44" s="41" t="e">
        <f t="shared" si="5"/>
        <v>#VALUE!</v>
      </c>
      <c r="BU44" s="41" t="e">
        <f t="shared" si="5"/>
        <v>#VALUE!</v>
      </c>
      <c r="BV44" s="41" t="e">
        <f t="shared" si="5"/>
        <v>#VALUE!</v>
      </c>
      <c r="BW44" s="41" t="e">
        <f t="shared" si="5"/>
        <v>#VALUE!</v>
      </c>
      <c r="BX44" s="41" t="e">
        <f t="shared" si="5"/>
        <v>#VALUE!</v>
      </c>
      <c r="BY44" s="41" t="e">
        <f t="shared" si="5"/>
        <v>#VALUE!</v>
      </c>
      <c r="BZ44" s="41" t="e">
        <f t="shared" si="5"/>
        <v>#VALUE!</v>
      </c>
      <c r="CA44" s="41" t="e">
        <f t="shared" si="5"/>
        <v>#VALUE!</v>
      </c>
      <c r="CB44" s="41" t="e">
        <f t="shared" si="5"/>
        <v>#VALUE!</v>
      </c>
      <c r="CC44" s="41" t="e">
        <f t="shared" si="5"/>
        <v>#VALUE!</v>
      </c>
      <c r="CD44" s="41" t="e">
        <f t="shared" si="5"/>
        <v>#VALUE!</v>
      </c>
      <c r="CE44" s="41" t="e">
        <f t="shared" si="5"/>
        <v>#VALUE!</v>
      </c>
      <c r="CF44" s="41" t="e">
        <f t="shared" si="5"/>
        <v>#VALUE!</v>
      </c>
      <c r="CG44" s="41" t="e">
        <f t="shared" si="5"/>
        <v>#VALUE!</v>
      </c>
      <c r="CH44" s="41" t="e">
        <f t="shared" si="5"/>
        <v>#VALUE!</v>
      </c>
      <c r="CI44" s="41" t="e">
        <f t="shared" si="5"/>
        <v>#VALUE!</v>
      </c>
      <c r="CJ44" s="41" t="e">
        <f t="shared" si="5"/>
        <v>#VALUE!</v>
      </c>
      <c r="CK44" s="41" t="e">
        <f t="shared" si="5"/>
        <v>#VALUE!</v>
      </c>
      <c r="CL44" s="41" t="e">
        <f t="shared" si="5"/>
        <v>#VALUE!</v>
      </c>
      <c r="CM44" s="41" t="e">
        <f t="shared" si="5"/>
        <v>#VALUE!</v>
      </c>
      <c r="CN44" s="41" t="e">
        <f t="shared" si="5"/>
        <v>#VALUE!</v>
      </c>
      <c r="CO44" s="41" t="e">
        <f t="shared" si="5"/>
        <v>#VALUE!</v>
      </c>
      <c r="CP44" s="41" t="e">
        <f t="shared" si="5"/>
        <v>#VALUE!</v>
      </c>
      <c r="CQ44" s="41" t="e">
        <f t="shared" si="5"/>
        <v>#VALUE!</v>
      </c>
      <c r="CR44" s="41" t="e">
        <f t="shared" si="5"/>
        <v>#VALUE!</v>
      </c>
      <c r="CS44" s="41" t="e">
        <f t="shared" si="5"/>
        <v>#VALUE!</v>
      </c>
      <c r="CT44" s="41" t="e">
        <f t="shared" si="5"/>
        <v>#VALUE!</v>
      </c>
      <c r="CU44" s="41" t="e">
        <f t="shared" si="5"/>
        <v>#VALUE!</v>
      </c>
      <c r="CV44" s="41" t="e">
        <f t="shared" si="5"/>
        <v>#VALUE!</v>
      </c>
      <c r="CW44" s="41" t="e">
        <f t="shared" si="5"/>
        <v>#VALUE!</v>
      </c>
      <c r="CX44" s="41" t="e">
        <f t="shared" si="5"/>
        <v>#VALUE!</v>
      </c>
      <c r="CY44" s="41" t="e">
        <f t="shared" si="5"/>
        <v>#VALUE!</v>
      </c>
      <c r="CZ44" s="41" t="e">
        <f t="shared" si="5"/>
        <v>#VALUE!</v>
      </c>
      <c r="DA44" s="41" t="e">
        <f t="shared" si="5"/>
        <v>#VALUE!</v>
      </c>
    </row>
    <row r="45" spans="1:107" x14ac:dyDescent="0.25">
      <c r="B45" t="s">
        <v>9</v>
      </c>
      <c r="E45" s="41" t="e">
        <f>IF(ISNUMBER(FIND("R",$B$16)),(E19-E2)^2,(E18-E2)^2)</f>
        <v>#VALUE!</v>
      </c>
      <c r="F45" s="41" t="e">
        <f t="shared" ref="F45:BQ45" si="6">IF(ISNUMBER(FIND("R",$B$16)),(F19-F2)^2,(F18-F2)^2)</f>
        <v>#VALUE!</v>
      </c>
      <c r="G45" s="41" t="e">
        <f t="shared" si="6"/>
        <v>#VALUE!</v>
      </c>
      <c r="H45" s="41" t="e">
        <f t="shared" si="6"/>
        <v>#VALUE!</v>
      </c>
      <c r="I45" s="41" t="e">
        <f t="shared" si="6"/>
        <v>#VALUE!</v>
      </c>
      <c r="J45" s="41" t="e">
        <f t="shared" si="6"/>
        <v>#VALUE!</v>
      </c>
      <c r="K45" s="41" t="e">
        <f t="shared" si="6"/>
        <v>#VALUE!</v>
      </c>
      <c r="L45" s="41" t="e">
        <f t="shared" si="6"/>
        <v>#VALUE!</v>
      </c>
      <c r="M45" s="41" t="e">
        <f t="shared" si="6"/>
        <v>#VALUE!</v>
      </c>
      <c r="N45" s="41" t="e">
        <f t="shared" si="6"/>
        <v>#VALUE!</v>
      </c>
      <c r="O45" s="41" t="e">
        <f t="shared" si="6"/>
        <v>#VALUE!</v>
      </c>
      <c r="P45" s="41" t="e">
        <f t="shared" si="6"/>
        <v>#VALUE!</v>
      </c>
      <c r="Q45" s="41" t="e">
        <f t="shared" si="6"/>
        <v>#VALUE!</v>
      </c>
      <c r="R45" s="41" t="e">
        <f t="shared" si="6"/>
        <v>#VALUE!</v>
      </c>
      <c r="S45" s="41" t="e">
        <f t="shared" si="6"/>
        <v>#VALUE!</v>
      </c>
      <c r="T45" s="41" t="e">
        <f t="shared" si="6"/>
        <v>#VALUE!</v>
      </c>
      <c r="U45" s="41" t="e">
        <f t="shared" si="6"/>
        <v>#VALUE!</v>
      </c>
      <c r="V45" s="41" t="e">
        <f t="shared" si="6"/>
        <v>#VALUE!</v>
      </c>
      <c r="W45" s="41" t="e">
        <f t="shared" si="6"/>
        <v>#VALUE!</v>
      </c>
      <c r="X45" s="41" t="e">
        <f t="shared" si="6"/>
        <v>#VALUE!</v>
      </c>
      <c r="Y45" s="41" t="e">
        <f t="shared" si="6"/>
        <v>#VALUE!</v>
      </c>
      <c r="Z45" s="41" t="e">
        <f t="shared" si="6"/>
        <v>#VALUE!</v>
      </c>
      <c r="AA45" s="41" t="e">
        <f t="shared" si="6"/>
        <v>#VALUE!</v>
      </c>
      <c r="AB45" s="41" t="e">
        <f t="shared" si="6"/>
        <v>#VALUE!</v>
      </c>
      <c r="AC45" s="41" t="e">
        <f t="shared" si="6"/>
        <v>#VALUE!</v>
      </c>
      <c r="AD45" s="41" t="e">
        <f t="shared" si="6"/>
        <v>#VALUE!</v>
      </c>
      <c r="AE45" s="41" t="e">
        <f t="shared" si="6"/>
        <v>#VALUE!</v>
      </c>
      <c r="AF45" s="41" t="e">
        <f t="shared" si="6"/>
        <v>#VALUE!</v>
      </c>
      <c r="AG45" s="41" t="e">
        <f t="shared" si="6"/>
        <v>#VALUE!</v>
      </c>
      <c r="AH45" s="41" t="e">
        <f t="shared" si="6"/>
        <v>#VALUE!</v>
      </c>
      <c r="AI45" s="41" t="e">
        <f t="shared" si="6"/>
        <v>#VALUE!</v>
      </c>
      <c r="AJ45" s="41" t="e">
        <f t="shared" si="6"/>
        <v>#VALUE!</v>
      </c>
      <c r="AK45" s="41" t="e">
        <f t="shared" si="6"/>
        <v>#VALUE!</v>
      </c>
      <c r="AL45" s="41" t="e">
        <f t="shared" si="6"/>
        <v>#VALUE!</v>
      </c>
      <c r="AM45" s="41" t="e">
        <f t="shared" si="6"/>
        <v>#VALUE!</v>
      </c>
      <c r="AN45" s="41" t="e">
        <f t="shared" si="6"/>
        <v>#VALUE!</v>
      </c>
      <c r="AO45" s="41" t="e">
        <f t="shared" si="6"/>
        <v>#VALUE!</v>
      </c>
      <c r="AP45" s="41" t="e">
        <f t="shared" si="6"/>
        <v>#VALUE!</v>
      </c>
      <c r="AQ45" s="41" t="e">
        <f t="shared" si="6"/>
        <v>#VALUE!</v>
      </c>
      <c r="AR45" s="41" t="e">
        <f t="shared" si="6"/>
        <v>#VALUE!</v>
      </c>
      <c r="AS45" s="41" t="e">
        <f t="shared" si="6"/>
        <v>#VALUE!</v>
      </c>
      <c r="AT45" s="41" t="e">
        <f t="shared" si="6"/>
        <v>#VALUE!</v>
      </c>
      <c r="AU45" s="41" t="e">
        <f t="shared" si="6"/>
        <v>#VALUE!</v>
      </c>
      <c r="AV45" s="41" t="e">
        <f t="shared" si="6"/>
        <v>#VALUE!</v>
      </c>
      <c r="AW45" s="41" t="e">
        <f t="shared" si="6"/>
        <v>#VALUE!</v>
      </c>
      <c r="AX45" s="41" t="e">
        <f t="shared" si="6"/>
        <v>#VALUE!</v>
      </c>
      <c r="AY45" s="41" t="e">
        <f t="shared" si="6"/>
        <v>#VALUE!</v>
      </c>
      <c r="AZ45" s="41" t="e">
        <f t="shared" si="6"/>
        <v>#VALUE!</v>
      </c>
      <c r="BA45" s="41" t="e">
        <f t="shared" si="6"/>
        <v>#VALUE!</v>
      </c>
      <c r="BB45" s="41" t="e">
        <f t="shared" si="6"/>
        <v>#VALUE!</v>
      </c>
      <c r="BC45" s="41" t="e">
        <f t="shared" si="6"/>
        <v>#VALUE!</v>
      </c>
      <c r="BD45" s="41" t="e">
        <f t="shared" si="6"/>
        <v>#VALUE!</v>
      </c>
      <c r="BE45" s="41" t="e">
        <f t="shared" si="6"/>
        <v>#VALUE!</v>
      </c>
      <c r="BF45" s="41" t="e">
        <f t="shared" si="6"/>
        <v>#VALUE!</v>
      </c>
      <c r="BG45" s="41" t="e">
        <f t="shared" si="6"/>
        <v>#VALUE!</v>
      </c>
      <c r="BH45" s="41" t="e">
        <f t="shared" si="6"/>
        <v>#VALUE!</v>
      </c>
      <c r="BI45" s="41" t="e">
        <f t="shared" si="6"/>
        <v>#VALUE!</v>
      </c>
      <c r="BJ45" s="41" t="e">
        <f t="shared" si="6"/>
        <v>#VALUE!</v>
      </c>
      <c r="BK45" s="41" t="e">
        <f t="shared" si="6"/>
        <v>#VALUE!</v>
      </c>
      <c r="BL45" s="41" t="e">
        <f t="shared" si="6"/>
        <v>#VALUE!</v>
      </c>
      <c r="BM45" s="41" t="e">
        <f t="shared" si="6"/>
        <v>#VALUE!</v>
      </c>
      <c r="BN45" s="41" t="e">
        <f t="shared" si="6"/>
        <v>#VALUE!</v>
      </c>
      <c r="BO45" s="41" t="e">
        <f t="shared" si="6"/>
        <v>#VALUE!</v>
      </c>
      <c r="BP45" s="41" t="e">
        <f t="shared" si="6"/>
        <v>#VALUE!</v>
      </c>
      <c r="BQ45" s="41" t="e">
        <f t="shared" si="6"/>
        <v>#VALUE!</v>
      </c>
      <c r="BR45" s="41" t="e">
        <f t="shared" ref="BR45:DA45" si="7">IF(ISNUMBER(FIND("R",$B$16)),(BR19-BR2)^2,(BR18-BR2)^2)</f>
        <v>#VALUE!</v>
      </c>
      <c r="BS45" s="41" t="e">
        <f t="shared" si="7"/>
        <v>#VALUE!</v>
      </c>
      <c r="BT45" s="41" t="e">
        <f t="shared" si="7"/>
        <v>#VALUE!</v>
      </c>
      <c r="BU45" s="41" t="e">
        <f t="shared" si="7"/>
        <v>#VALUE!</v>
      </c>
      <c r="BV45" s="41" t="e">
        <f t="shared" si="7"/>
        <v>#VALUE!</v>
      </c>
      <c r="BW45" s="41" t="e">
        <f t="shared" si="7"/>
        <v>#VALUE!</v>
      </c>
      <c r="BX45" s="41" t="e">
        <f t="shared" si="7"/>
        <v>#VALUE!</v>
      </c>
      <c r="BY45" s="41" t="e">
        <f t="shared" si="7"/>
        <v>#VALUE!</v>
      </c>
      <c r="BZ45" s="41" t="e">
        <f t="shared" si="7"/>
        <v>#VALUE!</v>
      </c>
      <c r="CA45" s="41" t="e">
        <f t="shared" si="7"/>
        <v>#VALUE!</v>
      </c>
      <c r="CB45" s="41" t="e">
        <f t="shared" si="7"/>
        <v>#VALUE!</v>
      </c>
      <c r="CC45" s="41" t="e">
        <f t="shared" si="7"/>
        <v>#VALUE!</v>
      </c>
      <c r="CD45" s="41" t="e">
        <f t="shared" si="7"/>
        <v>#VALUE!</v>
      </c>
      <c r="CE45" s="41" t="e">
        <f t="shared" si="7"/>
        <v>#VALUE!</v>
      </c>
      <c r="CF45" s="41" t="e">
        <f t="shared" si="7"/>
        <v>#VALUE!</v>
      </c>
      <c r="CG45" s="41" t="e">
        <f t="shared" si="7"/>
        <v>#VALUE!</v>
      </c>
      <c r="CH45" s="41" t="e">
        <f t="shared" si="7"/>
        <v>#VALUE!</v>
      </c>
      <c r="CI45" s="41" t="e">
        <f t="shared" si="7"/>
        <v>#VALUE!</v>
      </c>
      <c r="CJ45" s="41" t="e">
        <f t="shared" si="7"/>
        <v>#VALUE!</v>
      </c>
      <c r="CK45" s="41" t="e">
        <f t="shared" si="7"/>
        <v>#VALUE!</v>
      </c>
      <c r="CL45" s="41" t="e">
        <f t="shared" si="7"/>
        <v>#VALUE!</v>
      </c>
      <c r="CM45" s="41" t="e">
        <f t="shared" si="7"/>
        <v>#VALUE!</v>
      </c>
      <c r="CN45" s="41" t="e">
        <f t="shared" si="7"/>
        <v>#VALUE!</v>
      </c>
      <c r="CO45" s="41" t="e">
        <f t="shared" si="7"/>
        <v>#VALUE!</v>
      </c>
      <c r="CP45" s="41" t="e">
        <f t="shared" si="7"/>
        <v>#VALUE!</v>
      </c>
      <c r="CQ45" s="41" t="e">
        <f t="shared" si="7"/>
        <v>#VALUE!</v>
      </c>
      <c r="CR45" s="41" t="e">
        <f t="shared" si="7"/>
        <v>#VALUE!</v>
      </c>
      <c r="CS45" s="41" t="e">
        <f t="shared" si="7"/>
        <v>#VALUE!</v>
      </c>
      <c r="CT45" s="41" t="e">
        <f t="shared" si="7"/>
        <v>#VALUE!</v>
      </c>
      <c r="CU45" s="41" t="e">
        <f t="shared" si="7"/>
        <v>#VALUE!</v>
      </c>
      <c r="CV45" s="41" t="e">
        <f t="shared" si="7"/>
        <v>#VALUE!</v>
      </c>
      <c r="CW45" s="41" t="e">
        <f t="shared" si="7"/>
        <v>#VALUE!</v>
      </c>
      <c r="CX45" s="41" t="e">
        <f t="shared" si="7"/>
        <v>#VALUE!</v>
      </c>
      <c r="CY45" s="41" t="e">
        <f t="shared" si="7"/>
        <v>#VALUE!</v>
      </c>
      <c r="CZ45" s="41" t="e">
        <f t="shared" si="7"/>
        <v>#VALUE!</v>
      </c>
      <c r="DA45" s="41" t="e">
        <f t="shared" si="7"/>
        <v>#VALUE!</v>
      </c>
    </row>
    <row r="46" spans="1:107" x14ac:dyDescent="0.25">
      <c r="B46" t="s">
        <v>12</v>
      </c>
      <c r="E46" s="41" t="e">
        <f>IF(ISNUMBER(FIND("R",$B$16)),(E20-E3)^2,(E21-E3)^2)</f>
        <v>#VALUE!</v>
      </c>
      <c r="F46" s="41" t="e">
        <f t="shared" ref="F46:BQ46" si="8">IF(ISNUMBER(FIND("R",$B$16)),(F20-F3)^2,(F21-F3)^2)</f>
        <v>#VALUE!</v>
      </c>
      <c r="G46" s="41" t="e">
        <f t="shared" si="8"/>
        <v>#VALUE!</v>
      </c>
      <c r="H46" s="41" t="e">
        <f t="shared" si="8"/>
        <v>#VALUE!</v>
      </c>
      <c r="I46" s="41" t="e">
        <f t="shared" si="8"/>
        <v>#VALUE!</v>
      </c>
      <c r="J46" s="41" t="e">
        <f t="shared" si="8"/>
        <v>#VALUE!</v>
      </c>
      <c r="K46" s="41" t="e">
        <f t="shared" si="8"/>
        <v>#VALUE!</v>
      </c>
      <c r="L46" s="41" t="e">
        <f t="shared" si="8"/>
        <v>#VALUE!</v>
      </c>
      <c r="M46" s="41" t="e">
        <f t="shared" si="8"/>
        <v>#VALUE!</v>
      </c>
      <c r="N46" s="41" t="e">
        <f t="shared" si="8"/>
        <v>#VALUE!</v>
      </c>
      <c r="O46" s="41" t="e">
        <f t="shared" si="8"/>
        <v>#VALUE!</v>
      </c>
      <c r="P46" s="41" t="e">
        <f t="shared" si="8"/>
        <v>#VALUE!</v>
      </c>
      <c r="Q46" s="41" t="e">
        <f t="shared" si="8"/>
        <v>#VALUE!</v>
      </c>
      <c r="R46" s="41" t="e">
        <f t="shared" si="8"/>
        <v>#VALUE!</v>
      </c>
      <c r="S46" s="41" t="e">
        <f t="shared" si="8"/>
        <v>#VALUE!</v>
      </c>
      <c r="T46" s="41" t="e">
        <f t="shared" si="8"/>
        <v>#VALUE!</v>
      </c>
      <c r="U46" s="41" t="e">
        <f t="shared" si="8"/>
        <v>#VALUE!</v>
      </c>
      <c r="V46" s="41" t="e">
        <f t="shared" si="8"/>
        <v>#VALUE!</v>
      </c>
      <c r="W46" s="41" t="e">
        <f t="shared" si="8"/>
        <v>#VALUE!</v>
      </c>
      <c r="X46" s="41" t="e">
        <f t="shared" si="8"/>
        <v>#VALUE!</v>
      </c>
      <c r="Y46" s="41" t="e">
        <f t="shared" si="8"/>
        <v>#VALUE!</v>
      </c>
      <c r="Z46" s="41" t="e">
        <f t="shared" si="8"/>
        <v>#VALUE!</v>
      </c>
      <c r="AA46" s="41" t="e">
        <f t="shared" si="8"/>
        <v>#VALUE!</v>
      </c>
      <c r="AB46" s="41" t="e">
        <f t="shared" si="8"/>
        <v>#VALUE!</v>
      </c>
      <c r="AC46" s="41" t="e">
        <f t="shared" si="8"/>
        <v>#VALUE!</v>
      </c>
      <c r="AD46" s="41" t="e">
        <f t="shared" si="8"/>
        <v>#VALUE!</v>
      </c>
      <c r="AE46" s="41" t="e">
        <f t="shared" si="8"/>
        <v>#VALUE!</v>
      </c>
      <c r="AF46" s="41" t="e">
        <f t="shared" si="8"/>
        <v>#VALUE!</v>
      </c>
      <c r="AG46" s="41" t="e">
        <f t="shared" si="8"/>
        <v>#VALUE!</v>
      </c>
      <c r="AH46" s="41" t="e">
        <f t="shared" si="8"/>
        <v>#VALUE!</v>
      </c>
      <c r="AI46" s="41" t="e">
        <f t="shared" si="8"/>
        <v>#VALUE!</v>
      </c>
      <c r="AJ46" s="41" t="e">
        <f t="shared" si="8"/>
        <v>#VALUE!</v>
      </c>
      <c r="AK46" s="41" t="e">
        <f t="shared" si="8"/>
        <v>#VALUE!</v>
      </c>
      <c r="AL46" s="41" t="e">
        <f t="shared" si="8"/>
        <v>#VALUE!</v>
      </c>
      <c r="AM46" s="41" t="e">
        <f t="shared" si="8"/>
        <v>#VALUE!</v>
      </c>
      <c r="AN46" s="41" t="e">
        <f t="shared" si="8"/>
        <v>#VALUE!</v>
      </c>
      <c r="AO46" s="41" t="e">
        <f t="shared" si="8"/>
        <v>#VALUE!</v>
      </c>
      <c r="AP46" s="41" t="e">
        <f t="shared" si="8"/>
        <v>#VALUE!</v>
      </c>
      <c r="AQ46" s="41" t="e">
        <f t="shared" si="8"/>
        <v>#VALUE!</v>
      </c>
      <c r="AR46" s="41" t="e">
        <f t="shared" si="8"/>
        <v>#VALUE!</v>
      </c>
      <c r="AS46" s="41" t="e">
        <f t="shared" si="8"/>
        <v>#VALUE!</v>
      </c>
      <c r="AT46" s="41" t="e">
        <f t="shared" si="8"/>
        <v>#VALUE!</v>
      </c>
      <c r="AU46" s="41" t="e">
        <f t="shared" si="8"/>
        <v>#VALUE!</v>
      </c>
      <c r="AV46" s="41" t="e">
        <f t="shared" si="8"/>
        <v>#VALUE!</v>
      </c>
      <c r="AW46" s="41" t="e">
        <f t="shared" si="8"/>
        <v>#VALUE!</v>
      </c>
      <c r="AX46" s="41" t="e">
        <f t="shared" si="8"/>
        <v>#VALUE!</v>
      </c>
      <c r="AY46" s="41" t="e">
        <f t="shared" si="8"/>
        <v>#VALUE!</v>
      </c>
      <c r="AZ46" s="41" t="e">
        <f t="shared" si="8"/>
        <v>#VALUE!</v>
      </c>
      <c r="BA46" s="41" t="e">
        <f t="shared" si="8"/>
        <v>#VALUE!</v>
      </c>
      <c r="BB46" s="41" t="e">
        <f t="shared" si="8"/>
        <v>#VALUE!</v>
      </c>
      <c r="BC46" s="41" t="e">
        <f t="shared" si="8"/>
        <v>#VALUE!</v>
      </c>
      <c r="BD46" s="41" t="e">
        <f t="shared" si="8"/>
        <v>#VALUE!</v>
      </c>
      <c r="BE46" s="41" t="e">
        <f t="shared" si="8"/>
        <v>#VALUE!</v>
      </c>
      <c r="BF46" s="41" t="e">
        <f t="shared" si="8"/>
        <v>#VALUE!</v>
      </c>
      <c r="BG46" s="41" t="e">
        <f t="shared" si="8"/>
        <v>#VALUE!</v>
      </c>
      <c r="BH46" s="41" t="e">
        <f t="shared" si="8"/>
        <v>#VALUE!</v>
      </c>
      <c r="BI46" s="41" t="e">
        <f t="shared" si="8"/>
        <v>#VALUE!</v>
      </c>
      <c r="BJ46" s="41" t="e">
        <f t="shared" si="8"/>
        <v>#VALUE!</v>
      </c>
      <c r="BK46" s="41" t="e">
        <f t="shared" si="8"/>
        <v>#VALUE!</v>
      </c>
      <c r="BL46" s="41" t="e">
        <f t="shared" si="8"/>
        <v>#VALUE!</v>
      </c>
      <c r="BM46" s="41" t="e">
        <f t="shared" si="8"/>
        <v>#VALUE!</v>
      </c>
      <c r="BN46" s="41" t="e">
        <f t="shared" si="8"/>
        <v>#VALUE!</v>
      </c>
      <c r="BO46" s="41" t="e">
        <f t="shared" si="8"/>
        <v>#VALUE!</v>
      </c>
      <c r="BP46" s="41" t="e">
        <f t="shared" si="8"/>
        <v>#VALUE!</v>
      </c>
      <c r="BQ46" s="41" t="e">
        <f t="shared" si="8"/>
        <v>#VALUE!</v>
      </c>
      <c r="BR46" s="41" t="e">
        <f t="shared" ref="BR46:DA46" si="9">IF(ISNUMBER(FIND("R",$B$16)),(BR20-BR3)^2,(BR21-BR3)^2)</f>
        <v>#VALUE!</v>
      </c>
      <c r="BS46" s="41" t="e">
        <f t="shared" si="9"/>
        <v>#VALUE!</v>
      </c>
      <c r="BT46" s="41" t="e">
        <f t="shared" si="9"/>
        <v>#VALUE!</v>
      </c>
      <c r="BU46" s="41" t="e">
        <f t="shared" si="9"/>
        <v>#VALUE!</v>
      </c>
      <c r="BV46" s="41" t="e">
        <f t="shared" si="9"/>
        <v>#VALUE!</v>
      </c>
      <c r="BW46" s="41" t="e">
        <f t="shared" si="9"/>
        <v>#VALUE!</v>
      </c>
      <c r="BX46" s="41" t="e">
        <f t="shared" si="9"/>
        <v>#VALUE!</v>
      </c>
      <c r="BY46" s="41" t="e">
        <f t="shared" si="9"/>
        <v>#VALUE!</v>
      </c>
      <c r="BZ46" s="41" t="e">
        <f t="shared" si="9"/>
        <v>#VALUE!</v>
      </c>
      <c r="CA46" s="41" t="e">
        <f t="shared" si="9"/>
        <v>#VALUE!</v>
      </c>
      <c r="CB46" s="41" t="e">
        <f t="shared" si="9"/>
        <v>#VALUE!</v>
      </c>
      <c r="CC46" s="41" t="e">
        <f t="shared" si="9"/>
        <v>#VALUE!</v>
      </c>
      <c r="CD46" s="41" t="e">
        <f t="shared" si="9"/>
        <v>#VALUE!</v>
      </c>
      <c r="CE46" s="41" t="e">
        <f t="shared" si="9"/>
        <v>#VALUE!</v>
      </c>
      <c r="CF46" s="41" t="e">
        <f t="shared" si="9"/>
        <v>#VALUE!</v>
      </c>
      <c r="CG46" s="41" t="e">
        <f t="shared" si="9"/>
        <v>#VALUE!</v>
      </c>
      <c r="CH46" s="41" t="e">
        <f t="shared" si="9"/>
        <v>#VALUE!</v>
      </c>
      <c r="CI46" s="41" t="e">
        <f t="shared" si="9"/>
        <v>#VALUE!</v>
      </c>
      <c r="CJ46" s="41" t="e">
        <f t="shared" si="9"/>
        <v>#VALUE!</v>
      </c>
      <c r="CK46" s="41" t="e">
        <f t="shared" si="9"/>
        <v>#VALUE!</v>
      </c>
      <c r="CL46" s="41" t="e">
        <f t="shared" si="9"/>
        <v>#VALUE!</v>
      </c>
      <c r="CM46" s="41" t="e">
        <f t="shared" si="9"/>
        <v>#VALUE!</v>
      </c>
      <c r="CN46" s="41" t="e">
        <f t="shared" si="9"/>
        <v>#VALUE!</v>
      </c>
      <c r="CO46" s="41" t="e">
        <f t="shared" si="9"/>
        <v>#VALUE!</v>
      </c>
      <c r="CP46" s="41" t="e">
        <f t="shared" si="9"/>
        <v>#VALUE!</v>
      </c>
      <c r="CQ46" s="41" t="e">
        <f t="shared" si="9"/>
        <v>#VALUE!</v>
      </c>
      <c r="CR46" s="41" t="e">
        <f t="shared" si="9"/>
        <v>#VALUE!</v>
      </c>
      <c r="CS46" s="41" t="e">
        <f t="shared" si="9"/>
        <v>#VALUE!</v>
      </c>
      <c r="CT46" s="41" t="e">
        <f t="shared" si="9"/>
        <v>#VALUE!</v>
      </c>
      <c r="CU46" s="41" t="e">
        <f t="shared" si="9"/>
        <v>#VALUE!</v>
      </c>
      <c r="CV46" s="41" t="e">
        <f t="shared" si="9"/>
        <v>#VALUE!</v>
      </c>
      <c r="CW46" s="41" t="e">
        <f t="shared" si="9"/>
        <v>#VALUE!</v>
      </c>
      <c r="CX46" s="41" t="e">
        <f t="shared" si="9"/>
        <v>#VALUE!</v>
      </c>
      <c r="CY46" s="41" t="e">
        <f t="shared" si="9"/>
        <v>#VALUE!</v>
      </c>
      <c r="CZ46" s="41" t="e">
        <f t="shared" si="9"/>
        <v>#VALUE!</v>
      </c>
      <c r="DA46" s="41" t="e">
        <f t="shared" si="9"/>
        <v>#VALUE!</v>
      </c>
    </row>
    <row r="47" spans="1:107" x14ac:dyDescent="0.25">
      <c r="B47" t="s">
        <v>11</v>
      </c>
      <c r="E47" s="41" t="e">
        <f>IF(ISNUMBER(FIND("R",$B$16)),(E21-E3)^2,(E20-E3)^2)</f>
        <v>#VALUE!</v>
      </c>
      <c r="F47" s="41" t="e">
        <f t="shared" ref="F47:BQ47" si="10">IF(ISNUMBER(FIND("R",$B$16)),(F21-F3)^2,(F20-F3)^2)</f>
        <v>#VALUE!</v>
      </c>
      <c r="G47" s="41" t="e">
        <f t="shared" si="10"/>
        <v>#VALUE!</v>
      </c>
      <c r="H47" s="41" t="e">
        <f t="shared" si="10"/>
        <v>#VALUE!</v>
      </c>
      <c r="I47" s="41" t="e">
        <f t="shared" si="10"/>
        <v>#VALUE!</v>
      </c>
      <c r="J47" s="41" t="e">
        <f t="shared" si="10"/>
        <v>#VALUE!</v>
      </c>
      <c r="K47" s="41" t="e">
        <f t="shared" si="10"/>
        <v>#VALUE!</v>
      </c>
      <c r="L47" s="41" t="e">
        <f t="shared" si="10"/>
        <v>#VALUE!</v>
      </c>
      <c r="M47" s="41" t="e">
        <f t="shared" si="10"/>
        <v>#VALUE!</v>
      </c>
      <c r="N47" s="41" t="e">
        <f t="shared" si="10"/>
        <v>#VALUE!</v>
      </c>
      <c r="O47" s="41" t="e">
        <f t="shared" si="10"/>
        <v>#VALUE!</v>
      </c>
      <c r="P47" s="41" t="e">
        <f t="shared" si="10"/>
        <v>#VALUE!</v>
      </c>
      <c r="Q47" s="41" t="e">
        <f t="shared" si="10"/>
        <v>#VALUE!</v>
      </c>
      <c r="R47" s="41" t="e">
        <f t="shared" si="10"/>
        <v>#VALUE!</v>
      </c>
      <c r="S47" s="41" t="e">
        <f t="shared" si="10"/>
        <v>#VALUE!</v>
      </c>
      <c r="T47" s="41" t="e">
        <f t="shared" si="10"/>
        <v>#VALUE!</v>
      </c>
      <c r="U47" s="41" t="e">
        <f t="shared" si="10"/>
        <v>#VALUE!</v>
      </c>
      <c r="V47" s="41" t="e">
        <f t="shared" si="10"/>
        <v>#VALUE!</v>
      </c>
      <c r="W47" s="41" t="e">
        <f t="shared" si="10"/>
        <v>#VALUE!</v>
      </c>
      <c r="X47" s="41" t="e">
        <f t="shared" si="10"/>
        <v>#VALUE!</v>
      </c>
      <c r="Y47" s="41" t="e">
        <f t="shared" si="10"/>
        <v>#VALUE!</v>
      </c>
      <c r="Z47" s="41" t="e">
        <f t="shared" si="10"/>
        <v>#VALUE!</v>
      </c>
      <c r="AA47" s="41" t="e">
        <f t="shared" si="10"/>
        <v>#VALUE!</v>
      </c>
      <c r="AB47" s="41" t="e">
        <f t="shared" si="10"/>
        <v>#VALUE!</v>
      </c>
      <c r="AC47" s="41" t="e">
        <f t="shared" si="10"/>
        <v>#VALUE!</v>
      </c>
      <c r="AD47" s="41" t="e">
        <f t="shared" si="10"/>
        <v>#VALUE!</v>
      </c>
      <c r="AE47" s="41" t="e">
        <f t="shared" si="10"/>
        <v>#VALUE!</v>
      </c>
      <c r="AF47" s="41" t="e">
        <f t="shared" si="10"/>
        <v>#VALUE!</v>
      </c>
      <c r="AG47" s="41" t="e">
        <f t="shared" si="10"/>
        <v>#VALUE!</v>
      </c>
      <c r="AH47" s="41" t="e">
        <f t="shared" si="10"/>
        <v>#VALUE!</v>
      </c>
      <c r="AI47" s="41" t="e">
        <f t="shared" si="10"/>
        <v>#VALUE!</v>
      </c>
      <c r="AJ47" s="41" t="e">
        <f t="shared" si="10"/>
        <v>#VALUE!</v>
      </c>
      <c r="AK47" s="41" t="e">
        <f t="shared" si="10"/>
        <v>#VALUE!</v>
      </c>
      <c r="AL47" s="41" t="e">
        <f t="shared" si="10"/>
        <v>#VALUE!</v>
      </c>
      <c r="AM47" s="41" t="e">
        <f t="shared" si="10"/>
        <v>#VALUE!</v>
      </c>
      <c r="AN47" s="41" t="e">
        <f t="shared" si="10"/>
        <v>#VALUE!</v>
      </c>
      <c r="AO47" s="41" t="e">
        <f t="shared" si="10"/>
        <v>#VALUE!</v>
      </c>
      <c r="AP47" s="41" t="e">
        <f t="shared" si="10"/>
        <v>#VALUE!</v>
      </c>
      <c r="AQ47" s="41" t="e">
        <f t="shared" si="10"/>
        <v>#VALUE!</v>
      </c>
      <c r="AR47" s="41" t="e">
        <f t="shared" si="10"/>
        <v>#VALUE!</v>
      </c>
      <c r="AS47" s="41" t="e">
        <f t="shared" si="10"/>
        <v>#VALUE!</v>
      </c>
      <c r="AT47" s="41" t="e">
        <f t="shared" si="10"/>
        <v>#VALUE!</v>
      </c>
      <c r="AU47" s="41" t="e">
        <f t="shared" si="10"/>
        <v>#VALUE!</v>
      </c>
      <c r="AV47" s="41" t="e">
        <f t="shared" si="10"/>
        <v>#VALUE!</v>
      </c>
      <c r="AW47" s="41" t="e">
        <f t="shared" si="10"/>
        <v>#VALUE!</v>
      </c>
      <c r="AX47" s="41" t="e">
        <f t="shared" si="10"/>
        <v>#VALUE!</v>
      </c>
      <c r="AY47" s="41" t="e">
        <f t="shared" si="10"/>
        <v>#VALUE!</v>
      </c>
      <c r="AZ47" s="41" t="e">
        <f t="shared" si="10"/>
        <v>#VALUE!</v>
      </c>
      <c r="BA47" s="41" t="e">
        <f t="shared" si="10"/>
        <v>#VALUE!</v>
      </c>
      <c r="BB47" s="41" t="e">
        <f t="shared" si="10"/>
        <v>#VALUE!</v>
      </c>
      <c r="BC47" s="41" t="e">
        <f t="shared" si="10"/>
        <v>#VALUE!</v>
      </c>
      <c r="BD47" s="41" t="e">
        <f t="shared" si="10"/>
        <v>#VALUE!</v>
      </c>
      <c r="BE47" s="41" t="e">
        <f t="shared" si="10"/>
        <v>#VALUE!</v>
      </c>
      <c r="BF47" s="41" t="e">
        <f t="shared" si="10"/>
        <v>#VALUE!</v>
      </c>
      <c r="BG47" s="41" t="e">
        <f t="shared" si="10"/>
        <v>#VALUE!</v>
      </c>
      <c r="BH47" s="41" t="e">
        <f t="shared" si="10"/>
        <v>#VALUE!</v>
      </c>
      <c r="BI47" s="41" t="e">
        <f t="shared" si="10"/>
        <v>#VALUE!</v>
      </c>
      <c r="BJ47" s="41" t="e">
        <f t="shared" si="10"/>
        <v>#VALUE!</v>
      </c>
      <c r="BK47" s="41" t="e">
        <f t="shared" si="10"/>
        <v>#VALUE!</v>
      </c>
      <c r="BL47" s="41" t="e">
        <f t="shared" si="10"/>
        <v>#VALUE!</v>
      </c>
      <c r="BM47" s="41" t="e">
        <f t="shared" si="10"/>
        <v>#VALUE!</v>
      </c>
      <c r="BN47" s="41" t="e">
        <f t="shared" si="10"/>
        <v>#VALUE!</v>
      </c>
      <c r="BO47" s="41" t="e">
        <f t="shared" si="10"/>
        <v>#VALUE!</v>
      </c>
      <c r="BP47" s="41" t="e">
        <f t="shared" si="10"/>
        <v>#VALUE!</v>
      </c>
      <c r="BQ47" s="41" t="e">
        <f t="shared" si="10"/>
        <v>#VALUE!</v>
      </c>
      <c r="BR47" s="41" t="e">
        <f t="shared" ref="BR47:DA47" si="11">IF(ISNUMBER(FIND("R",$B$16)),(BR21-BR3)^2,(BR20-BR3)^2)</f>
        <v>#VALUE!</v>
      </c>
      <c r="BS47" s="41" t="e">
        <f t="shared" si="11"/>
        <v>#VALUE!</v>
      </c>
      <c r="BT47" s="41" t="e">
        <f t="shared" si="11"/>
        <v>#VALUE!</v>
      </c>
      <c r="BU47" s="41" t="e">
        <f t="shared" si="11"/>
        <v>#VALUE!</v>
      </c>
      <c r="BV47" s="41" t="e">
        <f t="shared" si="11"/>
        <v>#VALUE!</v>
      </c>
      <c r="BW47" s="41" t="e">
        <f t="shared" si="11"/>
        <v>#VALUE!</v>
      </c>
      <c r="BX47" s="41" t="e">
        <f t="shared" si="11"/>
        <v>#VALUE!</v>
      </c>
      <c r="BY47" s="41" t="e">
        <f t="shared" si="11"/>
        <v>#VALUE!</v>
      </c>
      <c r="BZ47" s="41" t="e">
        <f t="shared" si="11"/>
        <v>#VALUE!</v>
      </c>
      <c r="CA47" s="41" t="e">
        <f t="shared" si="11"/>
        <v>#VALUE!</v>
      </c>
      <c r="CB47" s="41" t="e">
        <f t="shared" si="11"/>
        <v>#VALUE!</v>
      </c>
      <c r="CC47" s="41" t="e">
        <f t="shared" si="11"/>
        <v>#VALUE!</v>
      </c>
      <c r="CD47" s="41" t="e">
        <f t="shared" si="11"/>
        <v>#VALUE!</v>
      </c>
      <c r="CE47" s="41" t="e">
        <f t="shared" si="11"/>
        <v>#VALUE!</v>
      </c>
      <c r="CF47" s="41" t="e">
        <f t="shared" si="11"/>
        <v>#VALUE!</v>
      </c>
      <c r="CG47" s="41" t="e">
        <f t="shared" si="11"/>
        <v>#VALUE!</v>
      </c>
      <c r="CH47" s="41" t="e">
        <f t="shared" si="11"/>
        <v>#VALUE!</v>
      </c>
      <c r="CI47" s="41" t="e">
        <f t="shared" si="11"/>
        <v>#VALUE!</v>
      </c>
      <c r="CJ47" s="41" t="e">
        <f t="shared" si="11"/>
        <v>#VALUE!</v>
      </c>
      <c r="CK47" s="41" t="e">
        <f t="shared" si="11"/>
        <v>#VALUE!</v>
      </c>
      <c r="CL47" s="41" t="e">
        <f t="shared" si="11"/>
        <v>#VALUE!</v>
      </c>
      <c r="CM47" s="41" t="e">
        <f t="shared" si="11"/>
        <v>#VALUE!</v>
      </c>
      <c r="CN47" s="41" t="e">
        <f t="shared" si="11"/>
        <v>#VALUE!</v>
      </c>
      <c r="CO47" s="41" t="e">
        <f t="shared" si="11"/>
        <v>#VALUE!</v>
      </c>
      <c r="CP47" s="41" t="e">
        <f t="shared" si="11"/>
        <v>#VALUE!</v>
      </c>
      <c r="CQ47" s="41" t="e">
        <f t="shared" si="11"/>
        <v>#VALUE!</v>
      </c>
      <c r="CR47" s="41" t="e">
        <f t="shared" si="11"/>
        <v>#VALUE!</v>
      </c>
      <c r="CS47" s="41" t="e">
        <f t="shared" si="11"/>
        <v>#VALUE!</v>
      </c>
      <c r="CT47" s="41" t="e">
        <f t="shared" si="11"/>
        <v>#VALUE!</v>
      </c>
      <c r="CU47" s="41" t="e">
        <f t="shared" si="11"/>
        <v>#VALUE!</v>
      </c>
      <c r="CV47" s="41" t="e">
        <f t="shared" si="11"/>
        <v>#VALUE!</v>
      </c>
      <c r="CW47" s="41" t="e">
        <f t="shared" si="11"/>
        <v>#VALUE!</v>
      </c>
      <c r="CX47" s="41" t="e">
        <f t="shared" si="11"/>
        <v>#VALUE!</v>
      </c>
      <c r="CY47" s="41" t="e">
        <f t="shared" si="11"/>
        <v>#VALUE!</v>
      </c>
      <c r="CZ47" s="41" t="e">
        <f t="shared" si="11"/>
        <v>#VALUE!</v>
      </c>
      <c r="DA47" s="41" t="e">
        <f t="shared" si="11"/>
        <v>#VALUE!</v>
      </c>
    </row>
    <row r="48" spans="1:107" x14ac:dyDescent="0.25">
      <c r="B48" t="s">
        <v>14</v>
      </c>
      <c r="E48" s="41" t="e">
        <f>IF(ISNUMBER(FIND("R",$B$16)),(E22-E4)^2,(E23-E4)^2)</f>
        <v>#VALUE!</v>
      </c>
      <c r="F48" s="41" t="e">
        <f t="shared" ref="F48:BQ48" si="12">IF(ISNUMBER(FIND("R",$B$16)),(F22-F4)^2,(F23-F4)^2)</f>
        <v>#VALUE!</v>
      </c>
      <c r="G48" s="41" t="e">
        <f t="shared" si="12"/>
        <v>#VALUE!</v>
      </c>
      <c r="H48" s="41" t="e">
        <f t="shared" si="12"/>
        <v>#VALUE!</v>
      </c>
      <c r="I48" s="41" t="e">
        <f t="shared" si="12"/>
        <v>#VALUE!</v>
      </c>
      <c r="J48" s="41" t="e">
        <f t="shared" si="12"/>
        <v>#VALUE!</v>
      </c>
      <c r="K48" s="41" t="e">
        <f t="shared" si="12"/>
        <v>#VALUE!</v>
      </c>
      <c r="L48" s="41" t="e">
        <f t="shared" si="12"/>
        <v>#VALUE!</v>
      </c>
      <c r="M48" s="41" t="e">
        <f t="shared" si="12"/>
        <v>#VALUE!</v>
      </c>
      <c r="N48" s="41" t="e">
        <f t="shared" si="12"/>
        <v>#VALUE!</v>
      </c>
      <c r="O48" s="41" t="e">
        <f t="shared" si="12"/>
        <v>#VALUE!</v>
      </c>
      <c r="P48" s="41" t="e">
        <f t="shared" si="12"/>
        <v>#VALUE!</v>
      </c>
      <c r="Q48" s="41" t="e">
        <f t="shared" si="12"/>
        <v>#VALUE!</v>
      </c>
      <c r="R48" s="41" t="e">
        <f t="shared" si="12"/>
        <v>#VALUE!</v>
      </c>
      <c r="S48" s="41" t="e">
        <f t="shared" si="12"/>
        <v>#VALUE!</v>
      </c>
      <c r="T48" s="41" t="e">
        <f t="shared" si="12"/>
        <v>#VALUE!</v>
      </c>
      <c r="U48" s="41" t="e">
        <f t="shared" si="12"/>
        <v>#VALUE!</v>
      </c>
      <c r="V48" s="41" t="e">
        <f t="shared" si="12"/>
        <v>#VALUE!</v>
      </c>
      <c r="W48" s="41" t="e">
        <f t="shared" si="12"/>
        <v>#VALUE!</v>
      </c>
      <c r="X48" s="41" t="e">
        <f t="shared" si="12"/>
        <v>#VALUE!</v>
      </c>
      <c r="Y48" s="41" t="e">
        <f t="shared" si="12"/>
        <v>#VALUE!</v>
      </c>
      <c r="Z48" s="41" t="e">
        <f t="shared" si="12"/>
        <v>#VALUE!</v>
      </c>
      <c r="AA48" s="41" t="e">
        <f t="shared" si="12"/>
        <v>#VALUE!</v>
      </c>
      <c r="AB48" s="41" t="e">
        <f t="shared" si="12"/>
        <v>#VALUE!</v>
      </c>
      <c r="AC48" s="41" t="e">
        <f t="shared" si="12"/>
        <v>#VALUE!</v>
      </c>
      <c r="AD48" s="41" t="e">
        <f t="shared" si="12"/>
        <v>#VALUE!</v>
      </c>
      <c r="AE48" s="41" t="e">
        <f t="shared" si="12"/>
        <v>#VALUE!</v>
      </c>
      <c r="AF48" s="41" t="e">
        <f t="shared" si="12"/>
        <v>#VALUE!</v>
      </c>
      <c r="AG48" s="41" t="e">
        <f t="shared" si="12"/>
        <v>#VALUE!</v>
      </c>
      <c r="AH48" s="41" t="e">
        <f t="shared" si="12"/>
        <v>#VALUE!</v>
      </c>
      <c r="AI48" s="41" t="e">
        <f t="shared" si="12"/>
        <v>#VALUE!</v>
      </c>
      <c r="AJ48" s="41" t="e">
        <f t="shared" si="12"/>
        <v>#VALUE!</v>
      </c>
      <c r="AK48" s="41" t="e">
        <f t="shared" si="12"/>
        <v>#VALUE!</v>
      </c>
      <c r="AL48" s="41" t="e">
        <f t="shared" si="12"/>
        <v>#VALUE!</v>
      </c>
      <c r="AM48" s="41" t="e">
        <f t="shared" si="12"/>
        <v>#VALUE!</v>
      </c>
      <c r="AN48" s="41" t="e">
        <f t="shared" si="12"/>
        <v>#VALUE!</v>
      </c>
      <c r="AO48" s="41" t="e">
        <f t="shared" si="12"/>
        <v>#VALUE!</v>
      </c>
      <c r="AP48" s="41" t="e">
        <f t="shared" si="12"/>
        <v>#VALUE!</v>
      </c>
      <c r="AQ48" s="41" t="e">
        <f t="shared" si="12"/>
        <v>#VALUE!</v>
      </c>
      <c r="AR48" s="41" t="e">
        <f t="shared" si="12"/>
        <v>#VALUE!</v>
      </c>
      <c r="AS48" s="41" t="e">
        <f t="shared" si="12"/>
        <v>#VALUE!</v>
      </c>
      <c r="AT48" s="41" t="e">
        <f t="shared" si="12"/>
        <v>#VALUE!</v>
      </c>
      <c r="AU48" s="41" t="e">
        <f t="shared" si="12"/>
        <v>#VALUE!</v>
      </c>
      <c r="AV48" s="41" t="e">
        <f t="shared" si="12"/>
        <v>#VALUE!</v>
      </c>
      <c r="AW48" s="41" t="e">
        <f t="shared" si="12"/>
        <v>#VALUE!</v>
      </c>
      <c r="AX48" s="41" t="e">
        <f t="shared" si="12"/>
        <v>#VALUE!</v>
      </c>
      <c r="AY48" s="41" t="e">
        <f t="shared" si="12"/>
        <v>#VALUE!</v>
      </c>
      <c r="AZ48" s="41" t="e">
        <f t="shared" si="12"/>
        <v>#VALUE!</v>
      </c>
      <c r="BA48" s="41" t="e">
        <f t="shared" si="12"/>
        <v>#VALUE!</v>
      </c>
      <c r="BB48" s="41" t="e">
        <f t="shared" si="12"/>
        <v>#VALUE!</v>
      </c>
      <c r="BC48" s="41" t="e">
        <f t="shared" si="12"/>
        <v>#VALUE!</v>
      </c>
      <c r="BD48" s="41" t="e">
        <f t="shared" si="12"/>
        <v>#VALUE!</v>
      </c>
      <c r="BE48" s="41" t="e">
        <f t="shared" si="12"/>
        <v>#VALUE!</v>
      </c>
      <c r="BF48" s="41" t="e">
        <f t="shared" si="12"/>
        <v>#VALUE!</v>
      </c>
      <c r="BG48" s="41" t="e">
        <f t="shared" si="12"/>
        <v>#VALUE!</v>
      </c>
      <c r="BH48" s="41" t="e">
        <f t="shared" si="12"/>
        <v>#VALUE!</v>
      </c>
      <c r="BI48" s="41" t="e">
        <f t="shared" si="12"/>
        <v>#VALUE!</v>
      </c>
      <c r="BJ48" s="41" t="e">
        <f t="shared" si="12"/>
        <v>#VALUE!</v>
      </c>
      <c r="BK48" s="41" t="e">
        <f t="shared" si="12"/>
        <v>#VALUE!</v>
      </c>
      <c r="BL48" s="41" t="e">
        <f t="shared" si="12"/>
        <v>#VALUE!</v>
      </c>
      <c r="BM48" s="41" t="e">
        <f t="shared" si="12"/>
        <v>#VALUE!</v>
      </c>
      <c r="BN48" s="41" t="e">
        <f t="shared" si="12"/>
        <v>#VALUE!</v>
      </c>
      <c r="BO48" s="41" t="e">
        <f t="shared" si="12"/>
        <v>#VALUE!</v>
      </c>
      <c r="BP48" s="41" t="e">
        <f t="shared" si="12"/>
        <v>#VALUE!</v>
      </c>
      <c r="BQ48" s="41" t="e">
        <f t="shared" si="12"/>
        <v>#VALUE!</v>
      </c>
      <c r="BR48" s="41" t="e">
        <f t="shared" ref="BR48:DA48" si="13">IF(ISNUMBER(FIND("R",$B$16)),(BR22-BR4)^2,(BR23-BR4)^2)</f>
        <v>#VALUE!</v>
      </c>
      <c r="BS48" s="41" t="e">
        <f t="shared" si="13"/>
        <v>#VALUE!</v>
      </c>
      <c r="BT48" s="41" t="e">
        <f t="shared" si="13"/>
        <v>#VALUE!</v>
      </c>
      <c r="BU48" s="41" t="e">
        <f t="shared" si="13"/>
        <v>#VALUE!</v>
      </c>
      <c r="BV48" s="41" t="e">
        <f t="shared" si="13"/>
        <v>#VALUE!</v>
      </c>
      <c r="BW48" s="41" t="e">
        <f t="shared" si="13"/>
        <v>#VALUE!</v>
      </c>
      <c r="BX48" s="41" t="e">
        <f t="shared" si="13"/>
        <v>#VALUE!</v>
      </c>
      <c r="BY48" s="41" t="e">
        <f t="shared" si="13"/>
        <v>#VALUE!</v>
      </c>
      <c r="BZ48" s="41" t="e">
        <f t="shared" si="13"/>
        <v>#VALUE!</v>
      </c>
      <c r="CA48" s="41" t="e">
        <f t="shared" si="13"/>
        <v>#VALUE!</v>
      </c>
      <c r="CB48" s="41" t="e">
        <f t="shared" si="13"/>
        <v>#VALUE!</v>
      </c>
      <c r="CC48" s="41" t="e">
        <f t="shared" si="13"/>
        <v>#VALUE!</v>
      </c>
      <c r="CD48" s="41" t="e">
        <f t="shared" si="13"/>
        <v>#VALUE!</v>
      </c>
      <c r="CE48" s="41" t="e">
        <f t="shared" si="13"/>
        <v>#VALUE!</v>
      </c>
      <c r="CF48" s="41" t="e">
        <f t="shared" si="13"/>
        <v>#VALUE!</v>
      </c>
      <c r="CG48" s="41" t="e">
        <f t="shared" si="13"/>
        <v>#VALUE!</v>
      </c>
      <c r="CH48" s="41" t="e">
        <f t="shared" si="13"/>
        <v>#VALUE!</v>
      </c>
      <c r="CI48" s="41" t="e">
        <f t="shared" si="13"/>
        <v>#VALUE!</v>
      </c>
      <c r="CJ48" s="41" t="e">
        <f t="shared" si="13"/>
        <v>#VALUE!</v>
      </c>
      <c r="CK48" s="41" t="e">
        <f t="shared" si="13"/>
        <v>#VALUE!</v>
      </c>
      <c r="CL48" s="41" t="e">
        <f t="shared" si="13"/>
        <v>#VALUE!</v>
      </c>
      <c r="CM48" s="41" t="e">
        <f t="shared" si="13"/>
        <v>#VALUE!</v>
      </c>
      <c r="CN48" s="41" t="e">
        <f t="shared" si="13"/>
        <v>#VALUE!</v>
      </c>
      <c r="CO48" s="41" t="e">
        <f t="shared" si="13"/>
        <v>#VALUE!</v>
      </c>
      <c r="CP48" s="41" t="e">
        <f t="shared" si="13"/>
        <v>#VALUE!</v>
      </c>
      <c r="CQ48" s="41" t="e">
        <f t="shared" si="13"/>
        <v>#VALUE!</v>
      </c>
      <c r="CR48" s="41" t="e">
        <f t="shared" si="13"/>
        <v>#VALUE!</v>
      </c>
      <c r="CS48" s="41" t="e">
        <f t="shared" si="13"/>
        <v>#VALUE!</v>
      </c>
      <c r="CT48" s="41" t="e">
        <f t="shared" si="13"/>
        <v>#VALUE!</v>
      </c>
      <c r="CU48" s="41" t="e">
        <f t="shared" si="13"/>
        <v>#VALUE!</v>
      </c>
      <c r="CV48" s="41" t="e">
        <f t="shared" si="13"/>
        <v>#VALUE!</v>
      </c>
      <c r="CW48" s="41" t="e">
        <f t="shared" si="13"/>
        <v>#VALUE!</v>
      </c>
      <c r="CX48" s="41" t="e">
        <f t="shared" si="13"/>
        <v>#VALUE!</v>
      </c>
      <c r="CY48" s="41" t="e">
        <f t="shared" si="13"/>
        <v>#VALUE!</v>
      </c>
      <c r="CZ48" s="41" t="e">
        <f t="shared" si="13"/>
        <v>#VALUE!</v>
      </c>
      <c r="DA48" s="41" t="e">
        <f t="shared" si="13"/>
        <v>#VALUE!</v>
      </c>
    </row>
    <row r="49" spans="2:105" x14ac:dyDescent="0.25">
      <c r="B49" t="s">
        <v>13</v>
      </c>
      <c r="E49" s="41" t="e">
        <f>IF(ISNUMBER(FIND("R",$B$16)),(E23-E4)^2,(E22-E4)^2)</f>
        <v>#VALUE!</v>
      </c>
      <c r="F49" s="41" t="e">
        <f t="shared" ref="F49:BQ49" si="14">IF(ISNUMBER(FIND("R",$B$16)),(F23-F4)^2,(F22-F4)^2)</f>
        <v>#VALUE!</v>
      </c>
      <c r="G49" s="41" t="e">
        <f t="shared" si="14"/>
        <v>#VALUE!</v>
      </c>
      <c r="H49" s="41" t="e">
        <f t="shared" si="14"/>
        <v>#VALUE!</v>
      </c>
      <c r="I49" s="41" t="e">
        <f t="shared" si="14"/>
        <v>#VALUE!</v>
      </c>
      <c r="J49" s="41" t="e">
        <f t="shared" si="14"/>
        <v>#VALUE!</v>
      </c>
      <c r="K49" s="41" t="e">
        <f t="shared" si="14"/>
        <v>#VALUE!</v>
      </c>
      <c r="L49" s="41" t="e">
        <f t="shared" si="14"/>
        <v>#VALUE!</v>
      </c>
      <c r="M49" s="41" t="e">
        <f t="shared" si="14"/>
        <v>#VALUE!</v>
      </c>
      <c r="N49" s="41" t="e">
        <f t="shared" si="14"/>
        <v>#VALUE!</v>
      </c>
      <c r="O49" s="41" t="e">
        <f t="shared" si="14"/>
        <v>#VALUE!</v>
      </c>
      <c r="P49" s="41" t="e">
        <f t="shared" si="14"/>
        <v>#VALUE!</v>
      </c>
      <c r="Q49" s="41" t="e">
        <f t="shared" si="14"/>
        <v>#VALUE!</v>
      </c>
      <c r="R49" s="41" t="e">
        <f t="shared" si="14"/>
        <v>#VALUE!</v>
      </c>
      <c r="S49" s="41" t="e">
        <f t="shared" si="14"/>
        <v>#VALUE!</v>
      </c>
      <c r="T49" s="41" t="e">
        <f t="shared" si="14"/>
        <v>#VALUE!</v>
      </c>
      <c r="U49" s="41" t="e">
        <f t="shared" si="14"/>
        <v>#VALUE!</v>
      </c>
      <c r="V49" s="41" t="e">
        <f t="shared" si="14"/>
        <v>#VALUE!</v>
      </c>
      <c r="W49" s="41" t="e">
        <f t="shared" si="14"/>
        <v>#VALUE!</v>
      </c>
      <c r="X49" s="41" t="e">
        <f t="shared" si="14"/>
        <v>#VALUE!</v>
      </c>
      <c r="Y49" s="41" t="e">
        <f t="shared" si="14"/>
        <v>#VALUE!</v>
      </c>
      <c r="Z49" s="41" t="e">
        <f t="shared" si="14"/>
        <v>#VALUE!</v>
      </c>
      <c r="AA49" s="41" t="e">
        <f t="shared" si="14"/>
        <v>#VALUE!</v>
      </c>
      <c r="AB49" s="41" t="e">
        <f t="shared" si="14"/>
        <v>#VALUE!</v>
      </c>
      <c r="AC49" s="41" t="e">
        <f t="shared" si="14"/>
        <v>#VALUE!</v>
      </c>
      <c r="AD49" s="41" t="e">
        <f t="shared" si="14"/>
        <v>#VALUE!</v>
      </c>
      <c r="AE49" s="41" t="e">
        <f t="shared" si="14"/>
        <v>#VALUE!</v>
      </c>
      <c r="AF49" s="41" t="e">
        <f t="shared" si="14"/>
        <v>#VALUE!</v>
      </c>
      <c r="AG49" s="41" t="e">
        <f t="shared" si="14"/>
        <v>#VALUE!</v>
      </c>
      <c r="AH49" s="41" t="e">
        <f t="shared" si="14"/>
        <v>#VALUE!</v>
      </c>
      <c r="AI49" s="41" t="e">
        <f t="shared" si="14"/>
        <v>#VALUE!</v>
      </c>
      <c r="AJ49" s="41" t="e">
        <f t="shared" si="14"/>
        <v>#VALUE!</v>
      </c>
      <c r="AK49" s="41" t="e">
        <f t="shared" si="14"/>
        <v>#VALUE!</v>
      </c>
      <c r="AL49" s="41" t="e">
        <f t="shared" si="14"/>
        <v>#VALUE!</v>
      </c>
      <c r="AM49" s="41" t="e">
        <f t="shared" si="14"/>
        <v>#VALUE!</v>
      </c>
      <c r="AN49" s="41" t="e">
        <f t="shared" si="14"/>
        <v>#VALUE!</v>
      </c>
      <c r="AO49" s="41" t="e">
        <f t="shared" si="14"/>
        <v>#VALUE!</v>
      </c>
      <c r="AP49" s="41" t="e">
        <f t="shared" si="14"/>
        <v>#VALUE!</v>
      </c>
      <c r="AQ49" s="41" t="e">
        <f t="shared" si="14"/>
        <v>#VALUE!</v>
      </c>
      <c r="AR49" s="41" t="e">
        <f t="shared" si="14"/>
        <v>#VALUE!</v>
      </c>
      <c r="AS49" s="41" t="e">
        <f t="shared" si="14"/>
        <v>#VALUE!</v>
      </c>
      <c r="AT49" s="41" t="e">
        <f t="shared" si="14"/>
        <v>#VALUE!</v>
      </c>
      <c r="AU49" s="41" t="e">
        <f t="shared" si="14"/>
        <v>#VALUE!</v>
      </c>
      <c r="AV49" s="41" t="e">
        <f t="shared" si="14"/>
        <v>#VALUE!</v>
      </c>
      <c r="AW49" s="41" t="e">
        <f t="shared" si="14"/>
        <v>#VALUE!</v>
      </c>
      <c r="AX49" s="41" t="e">
        <f t="shared" si="14"/>
        <v>#VALUE!</v>
      </c>
      <c r="AY49" s="41" t="e">
        <f t="shared" si="14"/>
        <v>#VALUE!</v>
      </c>
      <c r="AZ49" s="41" t="e">
        <f t="shared" si="14"/>
        <v>#VALUE!</v>
      </c>
      <c r="BA49" s="41" t="e">
        <f t="shared" si="14"/>
        <v>#VALUE!</v>
      </c>
      <c r="BB49" s="41" t="e">
        <f t="shared" si="14"/>
        <v>#VALUE!</v>
      </c>
      <c r="BC49" s="41" t="e">
        <f t="shared" si="14"/>
        <v>#VALUE!</v>
      </c>
      <c r="BD49" s="41" t="e">
        <f t="shared" si="14"/>
        <v>#VALUE!</v>
      </c>
      <c r="BE49" s="41" t="e">
        <f t="shared" si="14"/>
        <v>#VALUE!</v>
      </c>
      <c r="BF49" s="41" t="e">
        <f t="shared" si="14"/>
        <v>#VALUE!</v>
      </c>
      <c r="BG49" s="41" t="e">
        <f t="shared" si="14"/>
        <v>#VALUE!</v>
      </c>
      <c r="BH49" s="41" t="e">
        <f t="shared" si="14"/>
        <v>#VALUE!</v>
      </c>
      <c r="BI49" s="41" t="e">
        <f t="shared" si="14"/>
        <v>#VALUE!</v>
      </c>
      <c r="BJ49" s="41" t="e">
        <f t="shared" si="14"/>
        <v>#VALUE!</v>
      </c>
      <c r="BK49" s="41" t="e">
        <f t="shared" si="14"/>
        <v>#VALUE!</v>
      </c>
      <c r="BL49" s="41" t="e">
        <f t="shared" si="14"/>
        <v>#VALUE!</v>
      </c>
      <c r="BM49" s="41" t="e">
        <f t="shared" si="14"/>
        <v>#VALUE!</v>
      </c>
      <c r="BN49" s="41" t="e">
        <f t="shared" si="14"/>
        <v>#VALUE!</v>
      </c>
      <c r="BO49" s="41" t="e">
        <f t="shared" si="14"/>
        <v>#VALUE!</v>
      </c>
      <c r="BP49" s="41" t="e">
        <f t="shared" si="14"/>
        <v>#VALUE!</v>
      </c>
      <c r="BQ49" s="41" t="e">
        <f t="shared" si="14"/>
        <v>#VALUE!</v>
      </c>
      <c r="BR49" s="41" t="e">
        <f t="shared" ref="BR49:DA49" si="15">IF(ISNUMBER(FIND("R",$B$16)),(BR23-BR4)^2,(BR22-BR4)^2)</f>
        <v>#VALUE!</v>
      </c>
      <c r="BS49" s="41" t="e">
        <f t="shared" si="15"/>
        <v>#VALUE!</v>
      </c>
      <c r="BT49" s="41" t="e">
        <f t="shared" si="15"/>
        <v>#VALUE!</v>
      </c>
      <c r="BU49" s="41" t="e">
        <f t="shared" si="15"/>
        <v>#VALUE!</v>
      </c>
      <c r="BV49" s="41" t="e">
        <f t="shared" si="15"/>
        <v>#VALUE!</v>
      </c>
      <c r="BW49" s="41" t="e">
        <f t="shared" si="15"/>
        <v>#VALUE!</v>
      </c>
      <c r="BX49" s="41" t="e">
        <f t="shared" si="15"/>
        <v>#VALUE!</v>
      </c>
      <c r="BY49" s="41" t="e">
        <f t="shared" si="15"/>
        <v>#VALUE!</v>
      </c>
      <c r="BZ49" s="41" t="e">
        <f t="shared" si="15"/>
        <v>#VALUE!</v>
      </c>
      <c r="CA49" s="41" t="e">
        <f t="shared" si="15"/>
        <v>#VALUE!</v>
      </c>
      <c r="CB49" s="41" t="e">
        <f t="shared" si="15"/>
        <v>#VALUE!</v>
      </c>
      <c r="CC49" s="41" t="e">
        <f t="shared" si="15"/>
        <v>#VALUE!</v>
      </c>
      <c r="CD49" s="41" t="e">
        <f t="shared" si="15"/>
        <v>#VALUE!</v>
      </c>
      <c r="CE49" s="41" t="e">
        <f t="shared" si="15"/>
        <v>#VALUE!</v>
      </c>
      <c r="CF49" s="41" t="e">
        <f t="shared" si="15"/>
        <v>#VALUE!</v>
      </c>
      <c r="CG49" s="41" t="e">
        <f t="shared" si="15"/>
        <v>#VALUE!</v>
      </c>
      <c r="CH49" s="41" t="e">
        <f t="shared" si="15"/>
        <v>#VALUE!</v>
      </c>
      <c r="CI49" s="41" t="e">
        <f t="shared" si="15"/>
        <v>#VALUE!</v>
      </c>
      <c r="CJ49" s="41" t="e">
        <f t="shared" si="15"/>
        <v>#VALUE!</v>
      </c>
      <c r="CK49" s="41" t="e">
        <f t="shared" si="15"/>
        <v>#VALUE!</v>
      </c>
      <c r="CL49" s="41" t="e">
        <f t="shared" si="15"/>
        <v>#VALUE!</v>
      </c>
      <c r="CM49" s="41" t="e">
        <f t="shared" si="15"/>
        <v>#VALUE!</v>
      </c>
      <c r="CN49" s="41" t="e">
        <f t="shared" si="15"/>
        <v>#VALUE!</v>
      </c>
      <c r="CO49" s="41" t="e">
        <f t="shared" si="15"/>
        <v>#VALUE!</v>
      </c>
      <c r="CP49" s="41" t="e">
        <f t="shared" si="15"/>
        <v>#VALUE!</v>
      </c>
      <c r="CQ49" s="41" t="e">
        <f t="shared" si="15"/>
        <v>#VALUE!</v>
      </c>
      <c r="CR49" s="41" t="e">
        <f t="shared" si="15"/>
        <v>#VALUE!</v>
      </c>
      <c r="CS49" s="41" t="e">
        <f t="shared" si="15"/>
        <v>#VALUE!</v>
      </c>
      <c r="CT49" s="41" t="e">
        <f t="shared" si="15"/>
        <v>#VALUE!</v>
      </c>
      <c r="CU49" s="41" t="e">
        <f t="shared" si="15"/>
        <v>#VALUE!</v>
      </c>
      <c r="CV49" s="41" t="e">
        <f t="shared" si="15"/>
        <v>#VALUE!</v>
      </c>
      <c r="CW49" s="41" t="e">
        <f t="shared" si="15"/>
        <v>#VALUE!</v>
      </c>
      <c r="CX49" s="41" t="e">
        <f t="shared" si="15"/>
        <v>#VALUE!</v>
      </c>
      <c r="CY49" s="41" t="e">
        <f t="shared" si="15"/>
        <v>#VALUE!</v>
      </c>
      <c r="CZ49" s="41" t="e">
        <f t="shared" si="15"/>
        <v>#VALUE!</v>
      </c>
      <c r="DA49" s="41" t="e">
        <f t="shared" si="15"/>
        <v>#VALUE!</v>
      </c>
    </row>
    <row r="50" spans="2:105" x14ac:dyDescent="0.25">
      <c r="B50" t="s">
        <v>8</v>
      </c>
      <c r="E50" s="41" t="e">
        <f>IF(ISNUMBER(FIND("R",$B$16)),(E24-E5)^2,(E25-E5)^2)</f>
        <v>#VALUE!</v>
      </c>
      <c r="F50" s="41" t="e">
        <f t="shared" ref="F50:BQ50" si="16">IF(ISNUMBER(FIND("R",$B$16)),(F24-F5)^2,(F25-F5)^2)</f>
        <v>#VALUE!</v>
      </c>
      <c r="G50" s="41" t="e">
        <f t="shared" si="16"/>
        <v>#VALUE!</v>
      </c>
      <c r="H50" s="41" t="e">
        <f t="shared" si="16"/>
        <v>#VALUE!</v>
      </c>
      <c r="I50" s="41" t="e">
        <f t="shared" si="16"/>
        <v>#VALUE!</v>
      </c>
      <c r="J50" s="41" t="e">
        <f t="shared" si="16"/>
        <v>#VALUE!</v>
      </c>
      <c r="K50" s="41" t="e">
        <f t="shared" si="16"/>
        <v>#VALUE!</v>
      </c>
      <c r="L50" s="41" t="e">
        <f t="shared" si="16"/>
        <v>#VALUE!</v>
      </c>
      <c r="M50" s="41" t="e">
        <f t="shared" si="16"/>
        <v>#VALUE!</v>
      </c>
      <c r="N50" s="41" t="e">
        <f t="shared" si="16"/>
        <v>#VALUE!</v>
      </c>
      <c r="O50" s="41" t="e">
        <f t="shared" si="16"/>
        <v>#VALUE!</v>
      </c>
      <c r="P50" s="41" t="e">
        <f t="shared" si="16"/>
        <v>#VALUE!</v>
      </c>
      <c r="Q50" s="41" t="e">
        <f t="shared" si="16"/>
        <v>#VALUE!</v>
      </c>
      <c r="R50" s="41" t="e">
        <f t="shared" si="16"/>
        <v>#VALUE!</v>
      </c>
      <c r="S50" s="41" t="e">
        <f t="shared" si="16"/>
        <v>#VALUE!</v>
      </c>
      <c r="T50" s="41" t="e">
        <f t="shared" si="16"/>
        <v>#VALUE!</v>
      </c>
      <c r="U50" s="41" t="e">
        <f t="shared" si="16"/>
        <v>#VALUE!</v>
      </c>
      <c r="V50" s="41" t="e">
        <f t="shared" si="16"/>
        <v>#VALUE!</v>
      </c>
      <c r="W50" s="41" t="e">
        <f t="shared" si="16"/>
        <v>#VALUE!</v>
      </c>
      <c r="X50" s="41" t="e">
        <f t="shared" si="16"/>
        <v>#VALUE!</v>
      </c>
      <c r="Y50" s="41" t="e">
        <f t="shared" si="16"/>
        <v>#VALUE!</v>
      </c>
      <c r="Z50" s="41" t="e">
        <f t="shared" si="16"/>
        <v>#VALUE!</v>
      </c>
      <c r="AA50" s="41" t="e">
        <f t="shared" si="16"/>
        <v>#VALUE!</v>
      </c>
      <c r="AB50" s="41" t="e">
        <f t="shared" si="16"/>
        <v>#VALUE!</v>
      </c>
      <c r="AC50" s="41" t="e">
        <f t="shared" si="16"/>
        <v>#VALUE!</v>
      </c>
      <c r="AD50" s="41" t="e">
        <f t="shared" si="16"/>
        <v>#VALUE!</v>
      </c>
      <c r="AE50" s="41" t="e">
        <f t="shared" si="16"/>
        <v>#VALUE!</v>
      </c>
      <c r="AF50" s="41" t="e">
        <f t="shared" si="16"/>
        <v>#VALUE!</v>
      </c>
      <c r="AG50" s="41" t="e">
        <f t="shared" si="16"/>
        <v>#VALUE!</v>
      </c>
      <c r="AH50" s="41" t="e">
        <f t="shared" si="16"/>
        <v>#VALUE!</v>
      </c>
      <c r="AI50" s="41" t="e">
        <f t="shared" si="16"/>
        <v>#VALUE!</v>
      </c>
      <c r="AJ50" s="41" t="e">
        <f t="shared" si="16"/>
        <v>#VALUE!</v>
      </c>
      <c r="AK50" s="41" t="e">
        <f t="shared" si="16"/>
        <v>#VALUE!</v>
      </c>
      <c r="AL50" s="41" t="e">
        <f t="shared" si="16"/>
        <v>#VALUE!</v>
      </c>
      <c r="AM50" s="41" t="e">
        <f t="shared" si="16"/>
        <v>#VALUE!</v>
      </c>
      <c r="AN50" s="41" t="e">
        <f t="shared" si="16"/>
        <v>#VALUE!</v>
      </c>
      <c r="AO50" s="41" t="e">
        <f t="shared" si="16"/>
        <v>#VALUE!</v>
      </c>
      <c r="AP50" s="41" t="e">
        <f t="shared" si="16"/>
        <v>#VALUE!</v>
      </c>
      <c r="AQ50" s="41" t="e">
        <f t="shared" si="16"/>
        <v>#VALUE!</v>
      </c>
      <c r="AR50" s="41" t="e">
        <f t="shared" si="16"/>
        <v>#VALUE!</v>
      </c>
      <c r="AS50" s="41" t="e">
        <f t="shared" si="16"/>
        <v>#VALUE!</v>
      </c>
      <c r="AT50" s="41" t="e">
        <f t="shared" si="16"/>
        <v>#VALUE!</v>
      </c>
      <c r="AU50" s="41" t="e">
        <f t="shared" si="16"/>
        <v>#VALUE!</v>
      </c>
      <c r="AV50" s="41" t="e">
        <f t="shared" si="16"/>
        <v>#VALUE!</v>
      </c>
      <c r="AW50" s="41" t="e">
        <f t="shared" si="16"/>
        <v>#VALUE!</v>
      </c>
      <c r="AX50" s="41" t="e">
        <f t="shared" si="16"/>
        <v>#VALUE!</v>
      </c>
      <c r="AY50" s="41" t="e">
        <f t="shared" si="16"/>
        <v>#VALUE!</v>
      </c>
      <c r="AZ50" s="41" t="e">
        <f t="shared" si="16"/>
        <v>#VALUE!</v>
      </c>
      <c r="BA50" s="41" t="e">
        <f t="shared" si="16"/>
        <v>#VALUE!</v>
      </c>
      <c r="BB50" s="41" t="e">
        <f t="shared" si="16"/>
        <v>#VALUE!</v>
      </c>
      <c r="BC50" s="41" t="e">
        <f t="shared" si="16"/>
        <v>#VALUE!</v>
      </c>
      <c r="BD50" s="41" t="e">
        <f t="shared" si="16"/>
        <v>#VALUE!</v>
      </c>
      <c r="BE50" s="41" t="e">
        <f t="shared" si="16"/>
        <v>#VALUE!</v>
      </c>
      <c r="BF50" s="41" t="e">
        <f t="shared" si="16"/>
        <v>#VALUE!</v>
      </c>
      <c r="BG50" s="41" t="e">
        <f t="shared" si="16"/>
        <v>#VALUE!</v>
      </c>
      <c r="BH50" s="41" t="e">
        <f t="shared" si="16"/>
        <v>#VALUE!</v>
      </c>
      <c r="BI50" s="41" t="e">
        <f t="shared" si="16"/>
        <v>#VALUE!</v>
      </c>
      <c r="BJ50" s="41" t="e">
        <f t="shared" si="16"/>
        <v>#VALUE!</v>
      </c>
      <c r="BK50" s="41" t="e">
        <f t="shared" si="16"/>
        <v>#VALUE!</v>
      </c>
      <c r="BL50" s="41" t="e">
        <f t="shared" si="16"/>
        <v>#VALUE!</v>
      </c>
      <c r="BM50" s="41" t="e">
        <f t="shared" si="16"/>
        <v>#VALUE!</v>
      </c>
      <c r="BN50" s="41" t="e">
        <f t="shared" si="16"/>
        <v>#VALUE!</v>
      </c>
      <c r="BO50" s="41" t="e">
        <f t="shared" si="16"/>
        <v>#VALUE!</v>
      </c>
      <c r="BP50" s="41" t="e">
        <f t="shared" si="16"/>
        <v>#VALUE!</v>
      </c>
      <c r="BQ50" s="41" t="e">
        <f t="shared" si="16"/>
        <v>#VALUE!</v>
      </c>
      <c r="BR50" s="41" t="e">
        <f t="shared" ref="BR50:DA50" si="17">IF(ISNUMBER(FIND("R",$B$16)),(BR24-BR5)^2,(BR25-BR5)^2)</f>
        <v>#VALUE!</v>
      </c>
      <c r="BS50" s="41" t="e">
        <f t="shared" si="17"/>
        <v>#VALUE!</v>
      </c>
      <c r="BT50" s="41" t="e">
        <f t="shared" si="17"/>
        <v>#VALUE!</v>
      </c>
      <c r="BU50" s="41" t="e">
        <f t="shared" si="17"/>
        <v>#VALUE!</v>
      </c>
      <c r="BV50" s="41" t="e">
        <f t="shared" si="17"/>
        <v>#VALUE!</v>
      </c>
      <c r="BW50" s="41" t="e">
        <f t="shared" si="17"/>
        <v>#VALUE!</v>
      </c>
      <c r="BX50" s="41" t="e">
        <f t="shared" si="17"/>
        <v>#VALUE!</v>
      </c>
      <c r="BY50" s="41" t="e">
        <f t="shared" si="17"/>
        <v>#VALUE!</v>
      </c>
      <c r="BZ50" s="41" t="e">
        <f t="shared" si="17"/>
        <v>#VALUE!</v>
      </c>
      <c r="CA50" s="41" t="e">
        <f t="shared" si="17"/>
        <v>#VALUE!</v>
      </c>
      <c r="CB50" s="41" t="e">
        <f t="shared" si="17"/>
        <v>#VALUE!</v>
      </c>
      <c r="CC50" s="41" t="e">
        <f t="shared" si="17"/>
        <v>#VALUE!</v>
      </c>
      <c r="CD50" s="41" t="e">
        <f t="shared" si="17"/>
        <v>#VALUE!</v>
      </c>
      <c r="CE50" s="41" t="e">
        <f t="shared" si="17"/>
        <v>#VALUE!</v>
      </c>
      <c r="CF50" s="41" t="e">
        <f t="shared" si="17"/>
        <v>#VALUE!</v>
      </c>
      <c r="CG50" s="41" t="e">
        <f t="shared" si="17"/>
        <v>#VALUE!</v>
      </c>
      <c r="CH50" s="41" t="e">
        <f t="shared" si="17"/>
        <v>#VALUE!</v>
      </c>
      <c r="CI50" s="41" t="e">
        <f t="shared" si="17"/>
        <v>#VALUE!</v>
      </c>
      <c r="CJ50" s="41" t="e">
        <f t="shared" si="17"/>
        <v>#VALUE!</v>
      </c>
      <c r="CK50" s="41" t="e">
        <f t="shared" si="17"/>
        <v>#VALUE!</v>
      </c>
      <c r="CL50" s="41" t="e">
        <f t="shared" si="17"/>
        <v>#VALUE!</v>
      </c>
      <c r="CM50" s="41" t="e">
        <f t="shared" si="17"/>
        <v>#VALUE!</v>
      </c>
      <c r="CN50" s="41" t="e">
        <f t="shared" si="17"/>
        <v>#VALUE!</v>
      </c>
      <c r="CO50" s="41" t="e">
        <f t="shared" si="17"/>
        <v>#VALUE!</v>
      </c>
      <c r="CP50" s="41" t="e">
        <f t="shared" si="17"/>
        <v>#VALUE!</v>
      </c>
      <c r="CQ50" s="41" t="e">
        <f t="shared" si="17"/>
        <v>#VALUE!</v>
      </c>
      <c r="CR50" s="41" t="e">
        <f t="shared" si="17"/>
        <v>#VALUE!</v>
      </c>
      <c r="CS50" s="41" t="e">
        <f t="shared" si="17"/>
        <v>#VALUE!</v>
      </c>
      <c r="CT50" s="41" t="e">
        <f t="shared" si="17"/>
        <v>#VALUE!</v>
      </c>
      <c r="CU50" s="41" t="e">
        <f t="shared" si="17"/>
        <v>#VALUE!</v>
      </c>
      <c r="CV50" s="41" t="e">
        <f t="shared" si="17"/>
        <v>#VALUE!</v>
      </c>
      <c r="CW50" s="41" t="e">
        <f t="shared" si="17"/>
        <v>#VALUE!</v>
      </c>
      <c r="CX50" s="41" t="e">
        <f t="shared" si="17"/>
        <v>#VALUE!</v>
      </c>
      <c r="CY50" s="41" t="e">
        <f t="shared" si="17"/>
        <v>#VALUE!</v>
      </c>
      <c r="CZ50" s="41" t="e">
        <f t="shared" si="17"/>
        <v>#VALUE!</v>
      </c>
      <c r="DA50" s="41" t="e">
        <f t="shared" si="17"/>
        <v>#VALUE!</v>
      </c>
    </row>
    <row r="51" spans="2:105" x14ac:dyDescent="0.25">
      <c r="B51" t="s">
        <v>7</v>
      </c>
      <c r="E51" s="41" t="e">
        <f>IF(ISNUMBER(FIND("R",$B$16)),(E25-E5)^2,(E24-E5)^2)</f>
        <v>#VALUE!</v>
      </c>
      <c r="F51" s="41" t="e">
        <f t="shared" ref="F51:BQ51" si="18">IF(ISNUMBER(FIND("R",$B$16)),(F25-F5)^2,(F24-F5)^2)</f>
        <v>#VALUE!</v>
      </c>
      <c r="G51" s="41" t="e">
        <f t="shared" si="18"/>
        <v>#VALUE!</v>
      </c>
      <c r="H51" s="41" t="e">
        <f t="shared" si="18"/>
        <v>#VALUE!</v>
      </c>
      <c r="I51" s="41" t="e">
        <f t="shared" si="18"/>
        <v>#VALUE!</v>
      </c>
      <c r="J51" s="41" t="e">
        <f t="shared" si="18"/>
        <v>#VALUE!</v>
      </c>
      <c r="K51" s="41" t="e">
        <f t="shared" si="18"/>
        <v>#VALUE!</v>
      </c>
      <c r="L51" s="41" t="e">
        <f t="shared" si="18"/>
        <v>#VALUE!</v>
      </c>
      <c r="M51" s="41" t="e">
        <f t="shared" si="18"/>
        <v>#VALUE!</v>
      </c>
      <c r="N51" s="41" t="e">
        <f t="shared" si="18"/>
        <v>#VALUE!</v>
      </c>
      <c r="O51" s="41" t="e">
        <f t="shared" si="18"/>
        <v>#VALUE!</v>
      </c>
      <c r="P51" s="41" t="e">
        <f t="shared" si="18"/>
        <v>#VALUE!</v>
      </c>
      <c r="Q51" s="41" t="e">
        <f t="shared" si="18"/>
        <v>#VALUE!</v>
      </c>
      <c r="R51" s="41" t="e">
        <f t="shared" si="18"/>
        <v>#VALUE!</v>
      </c>
      <c r="S51" s="41" t="e">
        <f t="shared" si="18"/>
        <v>#VALUE!</v>
      </c>
      <c r="T51" s="41" t="e">
        <f t="shared" si="18"/>
        <v>#VALUE!</v>
      </c>
      <c r="U51" s="41" t="e">
        <f t="shared" si="18"/>
        <v>#VALUE!</v>
      </c>
      <c r="V51" s="41" t="e">
        <f t="shared" si="18"/>
        <v>#VALUE!</v>
      </c>
      <c r="W51" s="41" t="e">
        <f t="shared" si="18"/>
        <v>#VALUE!</v>
      </c>
      <c r="X51" s="41" t="e">
        <f t="shared" si="18"/>
        <v>#VALUE!</v>
      </c>
      <c r="Y51" s="41" t="e">
        <f t="shared" si="18"/>
        <v>#VALUE!</v>
      </c>
      <c r="Z51" s="41" t="e">
        <f t="shared" si="18"/>
        <v>#VALUE!</v>
      </c>
      <c r="AA51" s="41" t="e">
        <f t="shared" si="18"/>
        <v>#VALUE!</v>
      </c>
      <c r="AB51" s="41" t="e">
        <f t="shared" si="18"/>
        <v>#VALUE!</v>
      </c>
      <c r="AC51" s="41" t="e">
        <f t="shared" si="18"/>
        <v>#VALUE!</v>
      </c>
      <c r="AD51" s="41" t="e">
        <f t="shared" si="18"/>
        <v>#VALUE!</v>
      </c>
      <c r="AE51" s="41" t="e">
        <f t="shared" si="18"/>
        <v>#VALUE!</v>
      </c>
      <c r="AF51" s="41" t="e">
        <f t="shared" si="18"/>
        <v>#VALUE!</v>
      </c>
      <c r="AG51" s="41" t="e">
        <f t="shared" si="18"/>
        <v>#VALUE!</v>
      </c>
      <c r="AH51" s="41" t="e">
        <f t="shared" si="18"/>
        <v>#VALUE!</v>
      </c>
      <c r="AI51" s="41" t="e">
        <f t="shared" si="18"/>
        <v>#VALUE!</v>
      </c>
      <c r="AJ51" s="41" t="e">
        <f t="shared" si="18"/>
        <v>#VALUE!</v>
      </c>
      <c r="AK51" s="41" t="e">
        <f t="shared" si="18"/>
        <v>#VALUE!</v>
      </c>
      <c r="AL51" s="41" t="e">
        <f t="shared" si="18"/>
        <v>#VALUE!</v>
      </c>
      <c r="AM51" s="41" t="e">
        <f t="shared" si="18"/>
        <v>#VALUE!</v>
      </c>
      <c r="AN51" s="41" t="e">
        <f t="shared" si="18"/>
        <v>#VALUE!</v>
      </c>
      <c r="AO51" s="41" t="e">
        <f t="shared" si="18"/>
        <v>#VALUE!</v>
      </c>
      <c r="AP51" s="41" t="e">
        <f t="shared" si="18"/>
        <v>#VALUE!</v>
      </c>
      <c r="AQ51" s="41" t="e">
        <f t="shared" si="18"/>
        <v>#VALUE!</v>
      </c>
      <c r="AR51" s="41" t="e">
        <f t="shared" si="18"/>
        <v>#VALUE!</v>
      </c>
      <c r="AS51" s="41" t="e">
        <f t="shared" si="18"/>
        <v>#VALUE!</v>
      </c>
      <c r="AT51" s="41" t="e">
        <f t="shared" si="18"/>
        <v>#VALUE!</v>
      </c>
      <c r="AU51" s="41" t="e">
        <f t="shared" si="18"/>
        <v>#VALUE!</v>
      </c>
      <c r="AV51" s="41" t="e">
        <f t="shared" si="18"/>
        <v>#VALUE!</v>
      </c>
      <c r="AW51" s="41" t="e">
        <f t="shared" si="18"/>
        <v>#VALUE!</v>
      </c>
      <c r="AX51" s="41" t="e">
        <f t="shared" si="18"/>
        <v>#VALUE!</v>
      </c>
      <c r="AY51" s="41" t="e">
        <f t="shared" si="18"/>
        <v>#VALUE!</v>
      </c>
      <c r="AZ51" s="41" t="e">
        <f t="shared" si="18"/>
        <v>#VALUE!</v>
      </c>
      <c r="BA51" s="41" t="e">
        <f t="shared" si="18"/>
        <v>#VALUE!</v>
      </c>
      <c r="BB51" s="41" t="e">
        <f t="shared" si="18"/>
        <v>#VALUE!</v>
      </c>
      <c r="BC51" s="41" t="e">
        <f t="shared" si="18"/>
        <v>#VALUE!</v>
      </c>
      <c r="BD51" s="41" t="e">
        <f t="shared" si="18"/>
        <v>#VALUE!</v>
      </c>
      <c r="BE51" s="41" t="e">
        <f t="shared" si="18"/>
        <v>#VALUE!</v>
      </c>
      <c r="BF51" s="41" t="e">
        <f t="shared" si="18"/>
        <v>#VALUE!</v>
      </c>
      <c r="BG51" s="41" t="e">
        <f t="shared" si="18"/>
        <v>#VALUE!</v>
      </c>
      <c r="BH51" s="41" t="e">
        <f t="shared" si="18"/>
        <v>#VALUE!</v>
      </c>
      <c r="BI51" s="41" t="e">
        <f t="shared" si="18"/>
        <v>#VALUE!</v>
      </c>
      <c r="BJ51" s="41" t="e">
        <f t="shared" si="18"/>
        <v>#VALUE!</v>
      </c>
      <c r="BK51" s="41" t="e">
        <f t="shared" si="18"/>
        <v>#VALUE!</v>
      </c>
      <c r="BL51" s="41" t="e">
        <f t="shared" si="18"/>
        <v>#VALUE!</v>
      </c>
      <c r="BM51" s="41" t="e">
        <f t="shared" si="18"/>
        <v>#VALUE!</v>
      </c>
      <c r="BN51" s="41" t="e">
        <f t="shared" si="18"/>
        <v>#VALUE!</v>
      </c>
      <c r="BO51" s="41" t="e">
        <f t="shared" si="18"/>
        <v>#VALUE!</v>
      </c>
      <c r="BP51" s="41" t="e">
        <f t="shared" si="18"/>
        <v>#VALUE!</v>
      </c>
      <c r="BQ51" s="41" t="e">
        <f t="shared" si="18"/>
        <v>#VALUE!</v>
      </c>
      <c r="BR51" s="41" t="e">
        <f t="shared" ref="BR51:DA51" si="19">IF(ISNUMBER(FIND("R",$B$16)),(BR25-BR5)^2,(BR24-BR5)^2)</f>
        <v>#VALUE!</v>
      </c>
      <c r="BS51" s="41" t="e">
        <f t="shared" si="19"/>
        <v>#VALUE!</v>
      </c>
      <c r="BT51" s="41" t="e">
        <f t="shared" si="19"/>
        <v>#VALUE!</v>
      </c>
      <c r="BU51" s="41" t="e">
        <f t="shared" si="19"/>
        <v>#VALUE!</v>
      </c>
      <c r="BV51" s="41" t="e">
        <f t="shared" si="19"/>
        <v>#VALUE!</v>
      </c>
      <c r="BW51" s="41" t="e">
        <f t="shared" si="19"/>
        <v>#VALUE!</v>
      </c>
      <c r="BX51" s="41" t="e">
        <f t="shared" si="19"/>
        <v>#VALUE!</v>
      </c>
      <c r="BY51" s="41" t="e">
        <f t="shared" si="19"/>
        <v>#VALUE!</v>
      </c>
      <c r="BZ51" s="41" t="e">
        <f t="shared" si="19"/>
        <v>#VALUE!</v>
      </c>
      <c r="CA51" s="41" t="e">
        <f t="shared" si="19"/>
        <v>#VALUE!</v>
      </c>
      <c r="CB51" s="41" t="e">
        <f t="shared" si="19"/>
        <v>#VALUE!</v>
      </c>
      <c r="CC51" s="41" t="e">
        <f t="shared" si="19"/>
        <v>#VALUE!</v>
      </c>
      <c r="CD51" s="41" t="e">
        <f t="shared" si="19"/>
        <v>#VALUE!</v>
      </c>
      <c r="CE51" s="41" t="e">
        <f t="shared" si="19"/>
        <v>#VALUE!</v>
      </c>
      <c r="CF51" s="41" t="e">
        <f t="shared" si="19"/>
        <v>#VALUE!</v>
      </c>
      <c r="CG51" s="41" t="e">
        <f t="shared" si="19"/>
        <v>#VALUE!</v>
      </c>
      <c r="CH51" s="41" t="e">
        <f t="shared" si="19"/>
        <v>#VALUE!</v>
      </c>
      <c r="CI51" s="41" t="e">
        <f t="shared" si="19"/>
        <v>#VALUE!</v>
      </c>
      <c r="CJ51" s="41" t="e">
        <f t="shared" si="19"/>
        <v>#VALUE!</v>
      </c>
      <c r="CK51" s="41" t="e">
        <f t="shared" si="19"/>
        <v>#VALUE!</v>
      </c>
      <c r="CL51" s="41" t="e">
        <f t="shared" si="19"/>
        <v>#VALUE!</v>
      </c>
      <c r="CM51" s="41" t="e">
        <f t="shared" si="19"/>
        <v>#VALUE!</v>
      </c>
      <c r="CN51" s="41" t="e">
        <f t="shared" si="19"/>
        <v>#VALUE!</v>
      </c>
      <c r="CO51" s="41" t="e">
        <f t="shared" si="19"/>
        <v>#VALUE!</v>
      </c>
      <c r="CP51" s="41" t="e">
        <f t="shared" si="19"/>
        <v>#VALUE!</v>
      </c>
      <c r="CQ51" s="41" t="e">
        <f t="shared" si="19"/>
        <v>#VALUE!</v>
      </c>
      <c r="CR51" s="41" t="e">
        <f t="shared" si="19"/>
        <v>#VALUE!</v>
      </c>
      <c r="CS51" s="41" t="e">
        <f t="shared" si="19"/>
        <v>#VALUE!</v>
      </c>
      <c r="CT51" s="41" t="e">
        <f t="shared" si="19"/>
        <v>#VALUE!</v>
      </c>
      <c r="CU51" s="41" t="e">
        <f t="shared" si="19"/>
        <v>#VALUE!</v>
      </c>
      <c r="CV51" s="41" t="e">
        <f t="shared" si="19"/>
        <v>#VALUE!</v>
      </c>
      <c r="CW51" s="41" t="e">
        <f t="shared" si="19"/>
        <v>#VALUE!</v>
      </c>
      <c r="CX51" s="41" t="e">
        <f t="shared" si="19"/>
        <v>#VALUE!</v>
      </c>
      <c r="CY51" s="41" t="e">
        <f t="shared" si="19"/>
        <v>#VALUE!</v>
      </c>
      <c r="CZ51" s="41" t="e">
        <f t="shared" si="19"/>
        <v>#VALUE!</v>
      </c>
      <c r="DA51" s="41" t="e">
        <f t="shared" si="19"/>
        <v>#VALUE!</v>
      </c>
    </row>
    <row r="52" spans="2:105" x14ac:dyDescent="0.25">
      <c r="B52" t="s">
        <v>10</v>
      </c>
      <c r="E52" s="41" t="e">
        <f>IF(ISNUMBER(FIND("R",$B$16)),(E26-E6)^2,(E27-E6)^2)</f>
        <v>#VALUE!</v>
      </c>
      <c r="F52" s="41" t="e">
        <f t="shared" ref="F52:BQ52" si="20">IF(ISNUMBER(FIND("R",$B$16)),(F26-F6)^2,(F27-F6)^2)</f>
        <v>#VALUE!</v>
      </c>
      <c r="G52" s="41" t="e">
        <f t="shared" si="20"/>
        <v>#VALUE!</v>
      </c>
      <c r="H52" s="41" t="e">
        <f t="shared" si="20"/>
        <v>#VALUE!</v>
      </c>
      <c r="I52" s="41" t="e">
        <f t="shared" si="20"/>
        <v>#VALUE!</v>
      </c>
      <c r="J52" s="41" t="e">
        <f t="shared" si="20"/>
        <v>#VALUE!</v>
      </c>
      <c r="K52" s="41" t="e">
        <f t="shared" si="20"/>
        <v>#VALUE!</v>
      </c>
      <c r="L52" s="41" t="e">
        <f t="shared" si="20"/>
        <v>#VALUE!</v>
      </c>
      <c r="M52" s="41" t="e">
        <f t="shared" si="20"/>
        <v>#VALUE!</v>
      </c>
      <c r="N52" s="41" t="e">
        <f t="shared" si="20"/>
        <v>#VALUE!</v>
      </c>
      <c r="O52" s="41" t="e">
        <f t="shared" si="20"/>
        <v>#VALUE!</v>
      </c>
      <c r="P52" s="41" t="e">
        <f t="shared" si="20"/>
        <v>#VALUE!</v>
      </c>
      <c r="Q52" s="41" t="e">
        <f t="shared" si="20"/>
        <v>#VALUE!</v>
      </c>
      <c r="R52" s="41" t="e">
        <f t="shared" si="20"/>
        <v>#VALUE!</v>
      </c>
      <c r="S52" s="41" t="e">
        <f t="shared" si="20"/>
        <v>#VALUE!</v>
      </c>
      <c r="T52" s="41" t="e">
        <f t="shared" si="20"/>
        <v>#VALUE!</v>
      </c>
      <c r="U52" s="41" t="e">
        <f t="shared" si="20"/>
        <v>#VALUE!</v>
      </c>
      <c r="V52" s="41" t="e">
        <f t="shared" si="20"/>
        <v>#VALUE!</v>
      </c>
      <c r="W52" s="41" t="e">
        <f t="shared" si="20"/>
        <v>#VALUE!</v>
      </c>
      <c r="X52" s="41" t="e">
        <f t="shared" si="20"/>
        <v>#VALUE!</v>
      </c>
      <c r="Y52" s="41" t="e">
        <f t="shared" si="20"/>
        <v>#VALUE!</v>
      </c>
      <c r="Z52" s="41" t="e">
        <f t="shared" si="20"/>
        <v>#VALUE!</v>
      </c>
      <c r="AA52" s="41" t="e">
        <f t="shared" si="20"/>
        <v>#VALUE!</v>
      </c>
      <c r="AB52" s="41" t="e">
        <f t="shared" si="20"/>
        <v>#VALUE!</v>
      </c>
      <c r="AC52" s="41" t="e">
        <f t="shared" si="20"/>
        <v>#VALUE!</v>
      </c>
      <c r="AD52" s="41" t="e">
        <f t="shared" si="20"/>
        <v>#VALUE!</v>
      </c>
      <c r="AE52" s="41" t="e">
        <f t="shared" si="20"/>
        <v>#VALUE!</v>
      </c>
      <c r="AF52" s="41" t="e">
        <f t="shared" si="20"/>
        <v>#VALUE!</v>
      </c>
      <c r="AG52" s="41" t="e">
        <f t="shared" si="20"/>
        <v>#VALUE!</v>
      </c>
      <c r="AH52" s="41" t="e">
        <f t="shared" si="20"/>
        <v>#VALUE!</v>
      </c>
      <c r="AI52" s="41" t="e">
        <f t="shared" si="20"/>
        <v>#VALUE!</v>
      </c>
      <c r="AJ52" s="41" t="e">
        <f t="shared" si="20"/>
        <v>#VALUE!</v>
      </c>
      <c r="AK52" s="41" t="e">
        <f t="shared" si="20"/>
        <v>#VALUE!</v>
      </c>
      <c r="AL52" s="41" t="e">
        <f t="shared" si="20"/>
        <v>#VALUE!</v>
      </c>
      <c r="AM52" s="41" t="e">
        <f t="shared" si="20"/>
        <v>#VALUE!</v>
      </c>
      <c r="AN52" s="41" t="e">
        <f t="shared" si="20"/>
        <v>#VALUE!</v>
      </c>
      <c r="AO52" s="41" t="e">
        <f t="shared" si="20"/>
        <v>#VALUE!</v>
      </c>
      <c r="AP52" s="41" t="e">
        <f t="shared" si="20"/>
        <v>#VALUE!</v>
      </c>
      <c r="AQ52" s="41" t="e">
        <f t="shared" si="20"/>
        <v>#VALUE!</v>
      </c>
      <c r="AR52" s="41" t="e">
        <f t="shared" si="20"/>
        <v>#VALUE!</v>
      </c>
      <c r="AS52" s="41" t="e">
        <f t="shared" si="20"/>
        <v>#VALUE!</v>
      </c>
      <c r="AT52" s="41" t="e">
        <f t="shared" si="20"/>
        <v>#VALUE!</v>
      </c>
      <c r="AU52" s="41" t="e">
        <f t="shared" si="20"/>
        <v>#VALUE!</v>
      </c>
      <c r="AV52" s="41" t="e">
        <f t="shared" si="20"/>
        <v>#VALUE!</v>
      </c>
      <c r="AW52" s="41" t="e">
        <f t="shared" si="20"/>
        <v>#VALUE!</v>
      </c>
      <c r="AX52" s="41" t="e">
        <f t="shared" si="20"/>
        <v>#VALUE!</v>
      </c>
      <c r="AY52" s="41" t="e">
        <f t="shared" si="20"/>
        <v>#VALUE!</v>
      </c>
      <c r="AZ52" s="41" t="e">
        <f t="shared" si="20"/>
        <v>#VALUE!</v>
      </c>
      <c r="BA52" s="41" t="e">
        <f t="shared" si="20"/>
        <v>#VALUE!</v>
      </c>
      <c r="BB52" s="41" t="e">
        <f t="shared" si="20"/>
        <v>#VALUE!</v>
      </c>
      <c r="BC52" s="41" t="e">
        <f t="shared" si="20"/>
        <v>#VALUE!</v>
      </c>
      <c r="BD52" s="41" t="e">
        <f t="shared" si="20"/>
        <v>#VALUE!</v>
      </c>
      <c r="BE52" s="41" t="e">
        <f t="shared" si="20"/>
        <v>#VALUE!</v>
      </c>
      <c r="BF52" s="41" t="e">
        <f t="shared" si="20"/>
        <v>#VALUE!</v>
      </c>
      <c r="BG52" s="41" t="e">
        <f t="shared" si="20"/>
        <v>#VALUE!</v>
      </c>
      <c r="BH52" s="41" t="e">
        <f t="shared" si="20"/>
        <v>#VALUE!</v>
      </c>
      <c r="BI52" s="41" t="e">
        <f t="shared" si="20"/>
        <v>#VALUE!</v>
      </c>
      <c r="BJ52" s="41" t="e">
        <f t="shared" si="20"/>
        <v>#VALUE!</v>
      </c>
      <c r="BK52" s="41" t="e">
        <f t="shared" si="20"/>
        <v>#VALUE!</v>
      </c>
      <c r="BL52" s="41" t="e">
        <f t="shared" si="20"/>
        <v>#VALUE!</v>
      </c>
      <c r="BM52" s="41" t="e">
        <f t="shared" si="20"/>
        <v>#VALUE!</v>
      </c>
      <c r="BN52" s="41" t="e">
        <f t="shared" si="20"/>
        <v>#VALUE!</v>
      </c>
      <c r="BO52" s="41" t="e">
        <f t="shared" si="20"/>
        <v>#VALUE!</v>
      </c>
      <c r="BP52" s="41" t="e">
        <f t="shared" si="20"/>
        <v>#VALUE!</v>
      </c>
      <c r="BQ52" s="41" t="e">
        <f t="shared" si="20"/>
        <v>#VALUE!</v>
      </c>
      <c r="BR52" s="41" t="e">
        <f t="shared" ref="BR52:DA52" si="21">IF(ISNUMBER(FIND("R",$B$16)),(BR26-BR6)^2,(BR27-BR6)^2)</f>
        <v>#VALUE!</v>
      </c>
      <c r="BS52" s="41" t="e">
        <f t="shared" si="21"/>
        <v>#VALUE!</v>
      </c>
      <c r="BT52" s="41" t="e">
        <f t="shared" si="21"/>
        <v>#VALUE!</v>
      </c>
      <c r="BU52" s="41" t="e">
        <f t="shared" si="21"/>
        <v>#VALUE!</v>
      </c>
      <c r="BV52" s="41" t="e">
        <f t="shared" si="21"/>
        <v>#VALUE!</v>
      </c>
      <c r="BW52" s="41" t="e">
        <f t="shared" si="21"/>
        <v>#VALUE!</v>
      </c>
      <c r="BX52" s="41" t="e">
        <f t="shared" si="21"/>
        <v>#VALUE!</v>
      </c>
      <c r="BY52" s="41" t="e">
        <f t="shared" si="21"/>
        <v>#VALUE!</v>
      </c>
      <c r="BZ52" s="41" t="e">
        <f t="shared" si="21"/>
        <v>#VALUE!</v>
      </c>
      <c r="CA52" s="41" t="e">
        <f t="shared" si="21"/>
        <v>#VALUE!</v>
      </c>
      <c r="CB52" s="41" t="e">
        <f t="shared" si="21"/>
        <v>#VALUE!</v>
      </c>
      <c r="CC52" s="41" t="e">
        <f t="shared" si="21"/>
        <v>#VALUE!</v>
      </c>
      <c r="CD52" s="41" t="e">
        <f t="shared" si="21"/>
        <v>#VALUE!</v>
      </c>
      <c r="CE52" s="41" t="e">
        <f t="shared" si="21"/>
        <v>#VALUE!</v>
      </c>
      <c r="CF52" s="41" t="e">
        <f t="shared" si="21"/>
        <v>#VALUE!</v>
      </c>
      <c r="CG52" s="41" t="e">
        <f t="shared" si="21"/>
        <v>#VALUE!</v>
      </c>
      <c r="CH52" s="41" t="e">
        <f t="shared" si="21"/>
        <v>#VALUE!</v>
      </c>
      <c r="CI52" s="41" t="e">
        <f t="shared" si="21"/>
        <v>#VALUE!</v>
      </c>
      <c r="CJ52" s="41" t="e">
        <f t="shared" si="21"/>
        <v>#VALUE!</v>
      </c>
      <c r="CK52" s="41" t="e">
        <f t="shared" si="21"/>
        <v>#VALUE!</v>
      </c>
      <c r="CL52" s="41" t="e">
        <f t="shared" si="21"/>
        <v>#VALUE!</v>
      </c>
      <c r="CM52" s="41" t="e">
        <f t="shared" si="21"/>
        <v>#VALUE!</v>
      </c>
      <c r="CN52" s="41" t="e">
        <f t="shared" si="21"/>
        <v>#VALUE!</v>
      </c>
      <c r="CO52" s="41" t="e">
        <f t="shared" si="21"/>
        <v>#VALUE!</v>
      </c>
      <c r="CP52" s="41" t="e">
        <f t="shared" si="21"/>
        <v>#VALUE!</v>
      </c>
      <c r="CQ52" s="41" t="e">
        <f t="shared" si="21"/>
        <v>#VALUE!</v>
      </c>
      <c r="CR52" s="41" t="e">
        <f t="shared" si="21"/>
        <v>#VALUE!</v>
      </c>
      <c r="CS52" s="41" t="e">
        <f t="shared" si="21"/>
        <v>#VALUE!</v>
      </c>
      <c r="CT52" s="41" t="e">
        <f t="shared" si="21"/>
        <v>#VALUE!</v>
      </c>
      <c r="CU52" s="41" t="e">
        <f t="shared" si="21"/>
        <v>#VALUE!</v>
      </c>
      <c r="CV52" s="41" t="e">
        <f t="shared" si="21"/>
        <v>#VALUE!</v>
      </c>
      <c r="CW52" s="41" t="e">
        <f t="shared" si="21"/>
        <v>#VALUE!</v>
      </c>
      <c r="CX52" s="41" t="e">
        <f t="shared" si="21"/>
        <v>#VALUE!</v>
      </c>
      <c r="CY52" s="41" t="e">
        <f t="shared" si="21"/>
        <v>#VALUE!</v>
      </c>
      <c r="CZ52" s="41" t="e">
        <f t="shared" si="21"/>
        <v>#VALUE!</v>
      </c>
      <c r="DA52" s="41" t="e">
        <f t="shared" si="21"/>
        <v>#VALUE!</v>
      </c>
    </row>
    <row r="53" spans="2:105" x14ac:dyDescent="0.25">
      <c r="B53" t="s">
        <v>9</v>
      </c>
      <c r="E53" s="41" t="e">
        <f>IF(ISNUMBER(FIND("R",$B$16)),(E27-E6)^2,(E26-E6)^2)</f>
        <v>#VALUE!</v>
      </c>
      <c r="F53" s="41" t="e">
        <f t="shared" ref="F53:BQ53" si="22">IF(ISNUMBER(FIND("R",$B$16)),(F27-F6)^2,(F26-F6)^2)</f>
        <v>#VALUE!</v>
      </c>
      <c r="G53" s="41" t="e">
        <f t="shared" si="22"/>
        <v>#VALUE!</v>
      </c>
      <c r="H53" s="41" t="e">
        <f t="shared" si="22"/>
        <v>#VALUE!</v>
      </c>
      <c r="I53" s="41" t="e">
        <f t="shared" si="22"/>
        <v>#VALUE!</v>
      </c>
      <c r="J53" s="41" t="e">
        <f t="shared" si="22"/>
        <v>#VALUE!</v>
      </c>
      <c r="K53" s="41" t="e">
        <f t="shared" si="22"/>
        <v>#VALUE!</v>
      </c>
      <c r="L53" s="41" t="e">
        <f t="shared" si="22"/>
        <v>#VALUE!</v>
      </c>
      <c r="M53" s="41" t="e">
        <f t="shared" si="22"/>
        <v>#VALUE!</v>
      </c>
      <c r="N53" s="41" t="e">
        <f t="shared" si="22"/>
        <v>#VALUE!</v>
      </c>
      <c r="O53" s="41" t="e">
        <f t="shared" si="22"/>
        <v>#VALUE!</v>
      </c>
      <c r="P53" s="41" t="e">
        <f t="shared" si="22"/>
        <v>#VALUE!</v>
      </c>
      <c r="Q53" s="41" t="e">
        <f t="shared" si="22"/>
        <v>#VALUE!</v>
      </c>
      <c r="R53" s="41" t="e">
        <f t="shared" si="22"/>
        <v>#VALUE!</v>
      </c>
      <c r="S53" s="41" t="e">
        <f t="shared" si="22"/>
        <v>#VALUE!</v>
      </c>
      <c r="T53" s="41" t="e">
        <f t="shared" si="22"/>
        <v>#VALUE!</v>
      </c>
      <c r="U53" s="41" t="e">
        <f t="shared" si="22"/>
        <v>#VALUE!</v>
      </c>
      <c r="V53" s="41" t="e">
        <f t="shared" si="22"/>
        <v>#VALUE!</v>
      </c>
      <c r="W53" s="41" t="e">
        <f t="shared" si="22"/>
        <v>#VALUE!</v>
      </c>
      <c r="X53" s="41" t="e">
        <f t="shared" si="22"/>
        <v>#VALUE!</v>
      </c>
      <c r="Y53" s="41" t="e">
        <f t="shared" si="22"/>
        <v>#VALUE!</v>
      </c>
      <c r="Z53" s="41" t="e">
        <f t="shared" si="22"/>
        <v>#VALUE!</v>
      </c>
      <c r="AA53" s="41" t="e">
        <f t="shared" si="22"/>
        <v>#VALUE!</v>
      </c>
      <c r="AB53" s="41" t="e">
        <f t="shared" si="22"/>
        <v>#VALUE!</v>
      </c>
      <c r="AC53" s="41" t="e">
        <f t="shared" si="22"/>
        <v>#VALUE!</v>
      </c>
      <c r="AD53" s="41" t="e">
        <f t="shared" si="22"/>
        <v>#VALUE!</v>
      </c>
      <c r="AE53" s="41" t="e">
        <f t="shared" si="22"/>
        <v>#VALUE!</v>
      </c>
      <c r="AF53" s="41" t="e">
        <f t="shared" si="22"/>
        <v>#VALUE!</v>
      </c>
      <c r="AG53" s="41" t="e">
        <f t="shared" si="22"/>
        <v>#VALUE!</v>
      </c>
      <c r="AH53" s="41" t="e">
        <f t="shared" si="22"/>
        <v>#VALUE!</v>
      </c>
      <c r="AI53" s="41" t="e">
        <f t="shared" si="22"/>
        <v>#VALUE!</v>
      </c>
      <c r="AJ53" s="41" t="e">
        <f t="shared" si="22"/>
        <v>#VALUE!</v>
      </c>
      <c r="AK53" s="41" t="e">
        <f t="shared" si="22"/>
        <v>#VALUE!</v>
      </c>
      <c r="AL53" s="41" t="e">
        <f t="shared" si="22"/>
        <v>#VALUE!</v>
      </c>
      <c r="AM53" s="41" t="e">
        <f t="shared" si="22"/>
        <v>#VALUE!</v>
      </c>
      <c r="AN53" s="41" t="e">
        <f t="shared" si="22"/>
        <v>#VALUE!</v>
      </c>
      <c r="AO53" s="41" t="e">
        <f t="shared" si="22"/>
        <v>#VALUE!</v>
      </c>
      <c r="AP53" s="41" t="e">
        <f t="shared" si="22"/>
        <v>#VALUE!</v>
      </c>
      <c r="AQ53" s="41" t="e">
        <f t="shared" si="22"/>
        <v>#VALUE!</v>
      </c>
      <c r="AR53" s="41" t="e">
        <f t="shared" si="22"/>
        <v>#VALUE!</v>
      </c>
      <c r="AS53" s="41" t="e">
        <f t="shared" si="22"/>
        <v>#VALUE!</v>
      </c>
      <c r="AT53" s="41" t="e">
        <f t="shared" si="22"/>
        <v>#VALUE!</v>
      </c>
      <c r="AU53" s="41" t="e">
        <f t="shared" si="22"/>
        <v>#VALUE!</v>
      </c>
      <c r="AV53" s="41" t="e">
        <f t="shared" si="22"/>
        <v>#VALUE!</v>
      </c>
      <c r="AW53" s="41" t="e">
        <f t="shared" si="22"/>
        <v>#VALUE!</v>
      </c>
      <c r="AX53" s="41" t="e">
        <f t="shared" si="22"/>
        <v>#VALUE!</v>
      </c>
      <c r="AY53" s="41" t="e">
        <f t="shared" si="22"/>
        <v>#VALUE!</v>
      </c>
      <c r="AZ53" s="41" t="e">
        <f t="shared" si="22"/>
        <v>#VALUE!</v>
      </c>
      <c r="BA53" s="41" t="e">
        <f t="shared" si="22"/>
        <v>#VALUE!</v>
      </c>
      <c r="BB53" s="41" t="e">
        <f t="shared" si="22"/>
        <v>#VALUE!</v>
      </c>
      <c r="BC53" s="41" t="e">
        <f t="shared" si="22"/>
        <v>#VALUE!</v>
      </c>
      <c r="BD53" s="41" t="e">
        <f t="shared" si="22"/>
        <v>#VALUE!</v>
      </c>
      <c r="BE53" s="41" t="e">
        <f t="shared" si="22"/>
        <v>#VALUE!</v>
      </c>
      <c r="BF53" s="41" t="e">
        <f t="shared" si="22"/>
        <v>#VALUE!</v>
      </c>
      <c r="BG53" s="41" t="e">
        <f t="shared" si="22"/>
        <v>#VALUE!</v>
      </c>
      <c r="BH53" s="41" t="e">
        <f t="shared" si="22"/>
        <v>#VALUE!</v>
      </c>
      <c r="BI53" s="41" t="e">
        <f t="shared" si="22"/>
        <v>#VALUE!</v>
      </c>
      <c r="BJ53" s="41" t="e">
        <f t="shared" si="22"/>
        <v>#VALUE!</v>
      </c>
      <c r="BK53" s="41" t="e">
        <f t="shared" si="22"/>
        <v>#VALUE!</v>
      </c>
      <c r="BL53" s="41" t="e">
        <f t="shared" si="22"/>
        <v>#VALUE!</v>
      </c>
      <c r="BM53" s="41" t="e">
        <f t="shared" si="22"/>
        <v>#VALUE!</v>
      </c>
      <c r="BN53" s="41" t="e">
        <f t="shared" si="22"/>
        <v>#VALUE!</v>
      </c>
      <c r="BO53" s="41" t="e">
        <f t="shared" si="22"/>
        <v>#VALUE!</v>
      </c>
      <c r="BP53" s="41" t="e">
        <f t="shared" si="22"/>
        <v>#VALUE!</v>
      </c>
      <c r="BQ53" s="41" t="e">
        <f t="shared" si="22"/>
        <v>#VALUE!</v>
      </c>
      <c r="BR53" s="41" t="e">
        <f t="shared" ref="BR53:DA53" si="23">IF(ISNUMBER(FIND("R",$B$16)),(BR27-BR6)^2,(BR26-BR6)^2)</f>
        <v>#VALUE!</v>
      </c>
      <c r="BS53" s="41" t="e">
        <f t="shared" si="23"/>
        <v>#VALUE!</v>
      </c>
      <c r="BT53" s="41" t="e">
        <f t="shared" si="23"/>
        <v>#VALUE!</v>
      </c>
      <c r="BU53" s="41" t="e">
        <f t="shared" si="23"/>
        <v>#VALUE!</v>
      </c>
      <c r="BV53" s="41" t="e">
        <f t="shared" si="23"/>
        <v>#VALUE!</v>
      </c>
      <c r="BW53" s="41" t="e">
        <f t="shared" si="23"/>
        <v>#VALUE!</v>
      </c>
      <c r="BX53" s="41" t="e">
        <f t="shared" si="23"/>
        <v>#VALUE!</v>
      </c>
      <c r="BY53" s="41" t="e">
        <f t="shared" si="23"/>
        <v>#VALUE!</v>
      </c>
      <c r="BZ53" s="41" t="e">
        <f t="shared" si="23"/>
        <v>#VALUE!</v>
      </c>
      <c r="CA53" s="41" t="e">
        <f t="shared" si="23"/>
        <v>#VALUE!</v>
      </c>
      <c r="CB53" s="41" t="e">
        <f t="shared" si="23"/>
        <v>#VALUE!</v>
      </c>
      <c r="CC53" s="41" t="e">
        <f t="shared" si="23"/>
        <v>#VALUE!</v>
      </c>
      <c r="CD53" s="41" t="e">
        <f t="shared" si="23"/>
        <v>#VALUE!</v>
      </c>
      <c r="CE53" s="41" t="e">
        <f t="shared" si="23"/>
        <v>#VALUE!</v>
      </c>
      <c r="CF53" s="41" t="e">
        <f t="shared" si="23"/>
        <v>#VALUE!</v>
      </c>
      <c r="CG53" s="41" t="e">
        <f t="shared" si="23"/>
        <v>#VALUE!</v>
      </c>
      <c r="CH53" s="41" t="e">
        <f t="shared" si="23"/>
        <v>#VALUE!</v>
      </c>
      <c r="CI53" s="41" t="e">
        <f t="shared" si="23"/>
        <v>#VALUE!</v>
      </c>
      <c r="CJ53" s="41" t="e">
        <f t="shared" si="23"/>
        <v>#VALUE!</v>
      </c>
      <c r="CK53" s="41" t="e">
        <f t="shared" si="23"/>
        <v>#VALUE!</v>
      </c>
      <c r="CL53" s="41" t="e">
        <f t="shared" si="23"/>
        <v>#VALUE!</v>
      </c>
      <c r="CM53" s="41" t="e">
        <f t="shared" si="23"/>
        <v>#VALUE!</v>
      </c>
      <c r="CN53" s="41" t="e">
        <f t="shared" si="23"/>
        <v>#VALUE!</v>
      </c>
      <c r="CO53" s="41" t="e">
        <f t="shared" si="23"/>
        <v>#VALUE!</v>
      </c>
      <c r="CP53" s="41" t="e">
        <f t="shared" si="23"/>
        <v>#VALUE!</v>
      </c>
      <c r="CQ53" s="41" t="e">
        <f t="shared" si="23"/>
        <v>#VALUE!</v>
      </c>
      <c r="CR53" s="41" t="e">
        <f t="shared" si="23"/>
        <v>#VALUE!</v>
      </c>
      <c r="CS53" s="41" t="e">
        <f t="shared" si="23"/>
        <v>#VALUE!</v>
      </c>
      <c r="CT53" s="41" t="e">
        <f t="shared" si="23"/>
        <v>#VALUE!</v>
      </c>
      <c r="CU53" s="41" t="e">
        <f t="shared" si="23"/>
        <v>#VALUE!</v>
      </c>
      <c r="CV53" s="41" t="e">
        <f t="shared" si="23"/>
        <v>#VALUE!</v>
      </c>
      <c r="CW53" s="41" t="e">
        <f t="shared" si="23"/>
        <v>#VALUE!</v>
      </c>
      <c r="CX53" s="41" t="e">
        <f t="shared" si="23"/>
        <v>#VALUE!</v>
      </c>
      <c r="CY53" s="41" t="e">
        <f t="shared" si="23"/>
        <v>#VALUE!</v>
      </c>
      <c r="CZ53" s="41" t="e">
        <f t="shared" si="23"/>
        <v>#VALUE!</v>
      </c>
      <c r="DA53" s="41" t="e">
        <f t="shared" si="23"/>
        <v>#VALUE!</v>
      </c>
    </row>
    <row r="54" spans="2:105" x14ac:dyDescent="0.25">
      <c r="B54" t="s">
        <v>12</v>
      </c>
      <c r="E54" s="41" t="e">
        <f>IF(ISNUMBER(FIND("R",$B$16)),(E28-E7)^2,(E29-E7)^2)</f>
        <v>#VALUE!</v>
      </c>
      <c r="F54" s="41" t="e">
        <f t="shared" ref="F54:BQ54" si="24">IF(ISNUMBER(FIND("R",$B$16)),(F28-F7)^2,(F29-F7)^2)</f>
        <v>#VALUE!</v>
      </c>
      <c r="G54" s="41" t="e">
        <f t="shared" si="24"/>
        <v>#VALUE!</v>
      </c>
      <c r="H54" s="41" t="e">
        <f t="shared" si="24"/>
        <v>#VALUE!</v>
      </c>
      <c r="I54" s="41" t="e">
        <f t="shared" si="24"/>
        <v>#VALUE!</v>
      </c>
      <c r="J54" s="41" t="e">
        <f t="shared" si="24"/>
        <v>#VALUE!</v>
      </c>
      <c r="K54" s="41" t="e">
        <f t="shared" si="24"/>
        <v>#VALUE!</v>
      </c>
      <c r="L54" s="41" t="e">
        <f t="shared" si="24"/>
        <v>#VALUE!</v>
      </c>
      <c r="M54" s="41" t="e">
        <f t="shared" si="24"/>
        <v>#VALUE!</v>
      </c>
      <c r="N54" s="41" t="e">
        <f t="shared" si="24"/>
        <v>#VALUE!</v>
      </c>
      <c r="O54" s="41" t="e">
        <f t="shared" si="24"/>
        <v>#VALUE!</v>
      </c>
      <c r="P54" s="41" t="e">
        <f t="shared" si="24"/>
        <v>#VALUE!</v>
      </c>
      <c r="Q54" s="41" t="e">
        <f t="shared" si="24"/>
        <v>#VALUE!</v>
      </c>
      <c r="R54" s="41" t="e">
        <f t="shared" si="24"/>
        <v>#VALUE!</v>
      </c>
      <c r="S54" s="41" t="e">
        <f t="shared" si="24"/>
        <v>#VALUE!</v>
      </c>
      <c r="T54" s="41" t="e">
        <f t="shared" si="24"/>
        <v>#VALUE!</v>
      </c>
      <c r="U54" s="41" t="e">
        <f t="shared" si="24"/>
        <v>#VALUE!</v>
      </c>
      <c r="V54" s="41" t="e">
        <f t="shared" si="24"/>
        <v>#VALUE!</v>
      </c>
      <c r="W54" s="41" t="e">
        <f t="shared" si="24"/>
        <v>#VALUE!</v>
      </c>
      <c r="X54" s="41" t="e">
        <f t="shared" si="24"/>
        <v>#VALUE!</v>
      </c>
      <c r="Y54" s="41" t="e">
        <f t="shared" si="24"/>
        <v>#VALUE!</v>
      </c>
      <c r="Z54" s="41" t="e">
        <f t="shared" si="24"/>
        <v>#VALUE!</v>
      </c>
      <c r="AA54" s="41" t="e">
        <f t="shared" si="24"/>
        <v>#VALUE!</v>
      </c>
      <c r="AB54" s="41" t="e">
        <f t="shared" si="24"/>
        <v>#VALUE!</v>
      </c>
      <c r="AC54" s="41" t="e">
        <f t="shared" si="24"/>
        <v>#VALUE!</v>
      </c>
      <c r="AD54" s="41" t="e">
        <f t="shared" si="24"/>
        <v>#VALUE!</v>
      </c>
      <c r="AE54" s="41" t="e">
        <f t="shared" si="24"/>
        <v>#VALUE!</v>
      </c>
      <c r="AF54" s="41" t="e">
        <f t="shared" si="24"/>
        <v>#VALUE!</v>
      </c>
      <c r="AG54" s="41" t="e">
        <f t="shared" si="24"/>
        <v>#VALUE!</v>
      </c>
      <c r="AH54" s="41" t="e">
        <f t="shared" si="24"/>
        <v>#VALUE!</v>
      </c>
      <c r="AI54" s="41" t="e">
        <f t="shared" si="24"/>
        <v>#VALUE!</v>
      </c>
      <c r="AJ54" s="41" t="e">
        <f t="shared" si="24"/>
        <v>#VALUE!</v>
      </c>
      <c r="AK54" s="41" t="e">
        <f t="shared" si="24"/>
        <v>#VALUE!</v>
      </c>
      <c r="AL54" s="41" t="e">
        <f t="shared" si="24"/>
        <v>#VALUE!</v>
      </c>
      <c r="AM54" s="41" t="e">
        <f t="shared" si="24"/>
        <v>#VALUE!</v>
      </c>
      <c r="AN54" s="41" t="e">
        <f t="shared" si="24"/>
        <v>#VALUE!</v>
      </c>
      <c r="AO54" s="41" t="e">
        <f t="shared" si="24"/>
        <v>#VALUE!</v>
      </c>
      <c r="AP54" s="41" t="e">
        <f t="shared" si="24"/>
        <v>#VALUE!</v>
      </c>
      <c r="AQ54" s="41" t="e">
        <f t="shared" si="24"/>
        <v>#VALUE!</v>
      </c>
      <c r="AR54" s="41" t="e">
        <f t="shared" si="24"/>
        <v>#VALUE!</v>
      </c>
      <c r="AS54" s="41" t="e">
        <f t="shared" si="24"/>
        <v>#VALUE!</v>
      </c>
      <c r="AT54" s="41" t="e">
        <f t="shared" si="24"/>
        <v>#VALUE!</v>
      </c>
      <c r="AU54" s="41" t="e">
        <f t="shared" si="24"/>
        <v>#VALUE!</v>
      </c>
      <c r="AV54" s="41" t="e">
        <f t="shared" si="24"/>
        <v>#VALUE!</v>
      </c>
      <c r="AW54" s="41" t="e">
        <f t="shared" si="24"/>
        <v>#VALUE!</v>
      </c>
      <c r="AX54" s="41" t="e">
        <f t="shared" si="24"/>
        <v>#VALUE!</v>
      </c>
      <c r="AY54" s="41" t="e">
        <f t="shared" si="24"/>
        <v>#VALUE!</v>
      </c>
      <c r="AZ54" s="41" t="e">
        <f t="shared" si="24"/>
        <v>#VALUE!</v>
      </c>
      <c r="BA54" s="41" t="e">
        <f t="shared" si="24"/>
        <v>#VALUE!</v>
      </c>
      <c r="BB54" s="41" t="e">
        <f t="shared" si="24"/>
        <v>#VALUE!</v>
      </c>
      <c r="BC54" s="41" t="e">
        <f t="shared" si="24"/>
        <v>#VALUE!</v>
      </c>
      <c r="BD54" s="41" t="e">
        <f t="shared" si="24"/>
        <v>#VALUE!</v>
      </c>
      <c r="BE54" s="41" t="e">
        <f t="shared" si="24"/>
        <v>#VALUE!</v>
      </c>
      <c r="BF54" s="41" t="e">
        <f t="shared" si="24"/>
        <v>#VALUE!</v>
      </c>
      <c r="BG54" s="41" t="e">
        <f t="shared" si="24"/>
        <v>#VALUE!</v>
      </c>
      <c r="BH54" s="41" t="e">
        <f t="shared" si="24"/>
        <v>#VALUE!</v>
      </c>
      <c r="BI54" s="41" t="e">
        <f t="shared" si="24"/>
        <v>#VALUE!</v>
      </c>
      <c r="BJ54" s="41" t="e">
        <f t="shared" si="24"/>
        <v>#VALUE!</v>
      </c>
      <c r="BK54" s="41" t="e">
        <f t="shared" si="24"/>
        <v>#VALUE!</v>
      </c>
      <c r="BL54" s="41" t="e">
        <f t="shared" si="24"/>
        <v>#VALUE!</v>
      </c>
      <c r="BM54" s="41" t="e">
        <f t="shared" si="24"/>
        <v>#VALUE!</v>
      </c>
      <c r="BN54" s="41" t="e">
        <f t="shared" si="24"/>
        <v>#VALUE!</v>
      </c>
      <c r="BO54" s="41" t="e">
        <f t="shared" si="24"/>
        <v>#VALUE!</v>
      </c>
      <c r="BP54" s="41" t="e">
        <f t="shared" si="24"/>
        <v>#VALUE!</v>
      </c>
      <c r="BQ54" s="41" t="e">
        <f t="shared" si="24"/>
        <v>#VALUE!</v>
      </c>
      <c r="BR54" s="41" t="e">
        <f t="shared" ref="BR54:DA54" si="25">IF(ISNUMBER(FIND("R",$B$16)),(BR28-BR7)^2,(BR29-BR7)^2)</f>
        <v>#VALUE!</v>
      </c>
      <c r="BS54" s="41" t="e">
        <f t="shared" si="25"/>
        <v>#VALUE!</v>
      </c>
      <c r="BT54" s="41" t="e">
        <f t="shared" si="25"/>
        <v>#VALUE!</v>
      </c>
      <c r="BU54" s="41" t="e">
        <f t="shared" si="25"/>
        <v>#VALUE!</v>
      </c>
      <c r="BV54" s="41" t="e">
        <f t="shared" si="25"/>
        <v>#VALUE!</v>
      </c>
      <c r="BW54" s="41" t="e">
        <f t="shared" si="25"/>
        <v>#VALUE!</v>
      </c>
      <c r="BX54" s="41" t="e">
        <f t="shared" si="25"/>
        <v>#VALUE!</v>
      </c>
      <c r="BY54" s="41" t="e">
        <f t="shared" si="25"/>
        <v>#VALUE!</v>
      </c>
      <c r="BZ54" s="41" t="e">
        <f t="shared" si="25"/>
        <v>#VALUE!</v>
      </c>
      <c r="CA54" s="41" t="e">
        <f t="shared" si="25"/>
        <v>#VALUE!</v>
      </c>
      <c r="CB54" s="41" t="e">
        <f t="shared" si="25"/>
        <v>#VALUE!</v>
      </c>
      <c r="CC54" s="41" t="e">
        <f t="shared" si="25"/>
        <v>#VALUE!</v>
      </c>
      <c r="CD54" s="41" t="e">
        <f t="shared" si="25"/>
        <v>#VALUE!</v>
      </c>
      <c r="CE54" s="41" t="e">
        <f t="shared" si="25"/>
        <v>#VALUE!</v>
      </c>
      <c r="CF54" s="41" t="e">
        <f t="shared" si="25"/>
        <v>#VALUE!</v>
      </c>
      <c r="CG54" s="41" t="e">
        <f t="shared" si="25"/>
        <v>#VALUE!</v>
      </c>
      <c r="CH54" s="41" t="e">
        <f t="shared" si="25"/>
        <v>#VALUE!</v>
      </c>
      <c r="CI54" s="41" t="e">
        <f t="shared" si="25"/>
        <v>#VALUE!</v>
      </c>
      <c r="CJ54" s="41" t="e">
        <f t="shared" si="25"/>
        <v>#VALUE!</v>
      </c>
      <c r="CK54" s="41" t="e">
        <f t="shared" si="25"/>
        <v>#VALUE!</v>
      </c>
      <c r="CL54" s="41" t="e">
        <f t="shared" si="25"/>
        <v>#VALUE!</v>
      </c>
      <c r="CM54" s="41" t="e">
        <f t="shared" si="25"/>
        <v>#VALUE!</v>
      </c>
      <c r="CN54" s="41" t="e">
        <f t="shared" si="25"/>
        <v>#VALUE!</v>
      </c>
      <c r="CO54" s="41" t="e">
        <f t="shared" si="25"/>
        <v>#VALUE!</v>
      </c>
      <c r="CP54" s="41" t="e">
        <f t="shared" si="25"/>
        <v>#VALUE!</v>
      </c>
      <c r="CQ54" s="41" t="e">
        <f t="shared" si="25"/>
        <v>#VALUE!</v>
      </c>
      <c r="CR54" s="41" t="e">
        <f t="shared" si="25"/>
        <v>#VALUE!</v>
      </c>
      <c r="CS54" s="41" t="e">
        <f t="shared" si="25"/>
        <v>#VALUE!</v>
      </c>
      <c r="CT54" s="41" t="e">
        <f t="shared" si="25"/>
        <v>#VALUE!</v>
      </c>
      <c r="CU54" s="41" t="e">
        <f t="shared" si="25"/>
        <v>#VALUE!</v>
      </c>
      <c r="CV54" s="41" t="e">
        <f t="shared" si="25"/>
        <v>#VALUE!</v>
      </c>
      <c r="CW54" s="41" t="e">
        <f t="shared" si="25"/>
        <v>#VALUE!</v>
      </c>
      <c r="CX54" s="41" t="e">
        <f t="shared" si="25"/>
        <v>#VALUE!</v>
      </c>
      <c r="CY54" s="41" t="e">
        <f t="shared" si="25"/>
        <v>#VALUE!</v>
      </c>
      <c r="CZ54" s="41" t="e">
        <f t="shared" si="25"/>
        <v>#VALUE!</v>
      </c>
      <c r="DA54" s="41" t="e">
        <f t="shared" si="25"/>
        <v>#VALUE!</v>
      </c>
    </row>
    <row r="55" spans="2:105" x14ac:dyDescent="0.25">
      <c r="B55" t="s">
        <v>11</v>
      </c>
      <c r="E55" s="41" t="e">
        <f>IF(ISNUMBER(FIND("R",$B$16)),(E29-E7)^2,(E28-E7)^2)</f>
        <v>#VALUE!</v>
      </c>
      <c r="F55" s="41" t="e">
        <f t="shared" ref="F55:BQ55" si="26">IF(ISNUMBER(FIND("R",$B$16)),(F29-F7)^2,(F28-F7)^2)</f>
        <v>#VALUE!</v>
      </c>
      <c r="G55" s="41" t="e">
        <f t="shared" si="26"/>
        <v>#VALUE!</v>
      </c>
      <c r="H55" s="41" t="e">
        <f t="shared" si="26"/>
        <v>#VALUE!</v>
      </c>
      <c r="I55" s="41" t="e">
        <f t="shared" si="26"/>
        <v>#VALUE!</v>
      </c>
      <c r="J55" s="41" t="e">
        <f t="shared" si="26"/>
        <v>#VALUE!</v>
      </c>
      <c r="K55" s="41" t="e">
        <f t="shared" si="26"/>
        <v>#VALUE!</v>
      </c>
      <c r="L55" s="41" t="e">
        <f t="shared" si="26"/>
        <v>#VALUE!</v>
      </c>
      <c r="M55" s="41" t="e">
        <f t="shared" si="26"/>
        <v>#VALUE!</v>
      </c>
      <c r="N55" s="41" t="e">
        <f t="shared" si="26"/>
        <v>#VALUE!</v>
      </c>
      <c r="O55" s="41" t="e">
        <f t="shared" si="26"/>
        <v>#VALUE!</v>
      </c>
      <c r="P55" s="41" t="e">
        <f t="shared" si="26"/>
        <v>#VALUE!</v>
      </c>
      <c r="Q55" s="41" t="e">
        <f t="shared" si="26"/>
        <v>#VALUE!</v>
      </c>
      <c r="R55" s="41" t="e">
        <f t="shared" si="26"/>
        <v>#VALUE!</v>
      </c>
      <c r="S55" s="41" t="e">
        <f t="shared" si="26"/>
        <v>#VALUE!</v>
      </c>
      <c r="T55" s="41" t="e">
        <f t="shared" si="26"/>
        <v>#VALUE!</v>
      </c>
      <c r="U55" s="41" t="e">
        <f t="shared" si="26"/>
        <v>#VALUE!</v>
      </c>
      <c r="V55" s="41" t="e">
        <f t="shared" si="26"/>
        <v>#VALUE!</v>
      </c>
      <c r="W55" s="41" t="e">
        <f t="shared" si="26"/>
        <v>#VALUE!</v>
      </c>
      <c r="X55" s="41" t="e">
        <f t="shared" si="26"/>
        <v>#VALUE!</v>
      </c>
      <c r="Y55" s="41" t="e">
        <f t="shared" si="26"/>
        <v>#VALUE!</v>
      </c>
      <c r="Z55" s="41" t="e">
        <f t="shared" si="26"/>
        <v>#VALUE!</v>
      </c>
      <c r="AA55" s="41" t="e">
        <f t="shared" si="26"/>
        <v>#VALUE!</v>
      </c>
      <c r="AB55" s="41" t="e">
        <f t="shared" si="26"/>
        <v>#VALUE!</v>
      </c>
      <c r="AC55" s="41" t="e">
        <f t="shared" si="26"/>
        <v>#VALUE!</v>
      </c>
      <c r="AD55" s="41" t="e">
        <f t="shared" si="26"/>
        <v>#VALUE!</v>
      </c>
      <c r="AE55" s="41" t="e">
        <f t="shared" si="26"/>
        <v>#VALUE!</v>
      </c>
      <c r="AF55" s="41" t="e">
        <f t="shared" si="26"/>
        <v>#VALUE!</v>
      </c>
      <c r="AG55" s="41" t="e">
        <f t="shared" si="26"/>
        <v>#VALUE!</v>
      </c>
      <c r="AH55" s="41" t="e">
        <f t="shared" si="26"/>
        <v>#VALUE!</v>
      </c>
      <c r="AI55" s="41" t="e">
        <f t="shared" si="26"/>
        <v>#VALUE!</v>
      </c>
      <c r="AJ55" s="41" t="e">
        <f t="shared" si="26"/>
        <v>#VALUE!</v>
      </c>
      <c r="AK55" s="41" t="e">
        <f t="shared" si="26"/>
        <v>#VALUE!</v>
      </c>
      <c r="AL55" s="41" t="e">
        <f t="shared" si="26"/>
        <v>#VALUE!</v>
      </c>
      <c r="AM55" s="41" t="e">
        <f t="shared" si="26"/>
        <v>#VALUE!</v>
      </c>
      <c r="AN55" s="41" t="e">
        <f t="shared" si="26"/>
        <v>#VALUE!</v>
      </c>
      <c r="AO55" s="41" t="e">
        <f t="shared" si="26"/>
        <v>#VALUE!</v>
      </c>
      <c r="AP55" s="41" t="e">
        <f t="shared" si="26"/>
        <v>#VALUE!</v>
      </c>
      <c r="AQ55" s="41" t="e">
        <f t="shared" si="26"/>
        <v>#VALUE!</v>
      </c>
      <c r="AR55" s="41" t="e">
        <f t="shared" si="26"/>
        <v>#VALUE!</v>
      </c>
      <c r="AS55" s="41" t="e">
        <f t="shared" si="26"/>
        <v>#VALUE!</v>
      </c>
      <c r="AT55" s="41" t="e">
        <f t="shared" si="26"/>
        <v>#VALUE!</v>
      </c>
      <c r="AU55" s="41" t="e">
        <f t="shared" si="26"/>
        <v>#VALUE!</v>
      </c>
      <c r="AV55" s="41" t="e">
        <f t="shared" si="26"/>
        <v>#VALUE!</v>
      </c>
      <c r="AW55" s="41" t="e">
        <f t="shared" si="26"/>
        <v>#VALUE!</v>
      </c>
      <c r="AX55" s="41" t="e">
        <f t="shared" si="26"/>
        <v>#VALUE!</v>
      </c>
      <c r="AY55" s="41" t="e">
        <f t="shared" si="26"/>
        <v>#VALUE!</v>
      </c>
      <c r="AZ55" s="41" t="e">
        <f t="shared" si="26"/>
        <v>#VALUE!</v>
      </c>
      <c r="BA55" s="41" t="e">
        <f t="shared" si="26"/>
        <v>#VALUE!</v>
      </c>
      <c r="BB55" s="41" t="e">
        <f t="shared" si="26"/>
        <v>#VALUE!</v>
      </c>
      <c r="BC55" s="41" t="e">
        <f t="shared" si="26"/>
        <v>#VALUE!</v>
      </c>
      <c r="BD55" s="41" t="e">
        <f t="shared" si="26"/>
        <v>#VALUE!</v>
      </c>
      <c r="BE55" s="41" t="e">
        <f t="shared" si="26"/>
        <v>#VALUE!</v>
      </c>
      <c r="BF55" s="41" t="e">
        <f t="shared" si="26"/>
        <v>#VALUE!</v>
      </c>
      <c r="BG55" s="41" t="e">
        <f t="shared" si="26"/>
        <v>#VALUE!</v>
      </c>
      <c r="BH55" s="41" t="e">
        <f t="shared" si="26"/>
        <v>#VALUE!</v>
      </c>
      <c r="BI55" s="41" t="e">
        <f t="shared" si="26"/>
        <v>#VALUE!</v>
      </c>
      <c r="BJ55" s="41" t="e">
        <f t="shared" si="26"/>
        <v>#VALUE!</v>
      </c>
      <c r="BK55" s="41" t="e">
        <f t="shared" si="26"/>
        <v>#VALUE!</v>
      </c>
      <c r="BL55" s="41" t="e">
        <f t="shared" si="26"/>
        <v>#VALUE!</v>
      </c>
      <c r="BM55" s="41" t="e">
        <f t="shared" si="26"/>
        <v>#VALUE!</v>
      </c>
      <c r="BN55" s="41" t="e">
        <f t="shared" si="26"/>
        <v>#VALUE!</v>
      </c>
      <c r="BO55" s="41" t="e">
        <f t="shared" si="26"/>
        <v>#VALUE!</v>
      </c>
      <c r="BP55" s="41" t="e">
        <f t="shared" si="26"/>
        <v>#VALUE!</v>
      </c>
      <c r="BQ55" s="41" t="e">
        <f t="shared" si="26"/>
        <v>#VALUE!</v>
      </c>
      <c r="BR55" s="41" t="e">
        <f t="shared" ref="BR55:DA55" si="27">IF(ISNUMBER(FIND("R",$B$16)),(BR29-BR7)^2,(BR28-BR7)^2)</f>
        <v>#VALUE!</v>
      </c>
      <c r="BS55" s="41" t="e">
        <f t="shared" si="27"/>
        <v>#VALUE!</v>
      </c>
      <c r="BT55" s="41" t="e">
        <f t="shared" si="27"/>
        <v>#VALUE!</v>
      </c>
      <c r="BU55" s="41" t="e">
        <f t="shared" si="27"/>
        <v>#VALUE!</v>
      </c>
      <c r="BV55" s="41" t="e">
        <f t="shared" si="27"/>
        <v>#VALUE!</v>
      </c>
      <c r="BW55" s="41" t="e">
        <f t="shared" si="27"/>
        <v>#VALUE!</v>
      </c>
      <c r="BX55" s="41" t="e">
        <f t="shared" si="27"/>
        <v>#VALUE!</v>
      </c>
      <c r="BY55" s="41" t="e">
        <f t="shared" si="27"/>
        <v>#VALUE!</v>
      </c>
      <c r="BZ55" s="41" t="e">
        <f t="shared" si="27"/>
        <v>#VALUE!</v>
      </c>
      <c r="CA55" s="41" t="e">
        <f t="shared" si="27"/>
        <v>#VALUE!</v>
      </c>
      <c r="CB55" s="41" t="e">
        <f t="shared" si="27"/>
        <v>#VALUE!</v>
      </c>
      <c r="CC55" s="41" t="e">
        <f t="shared" si="27"/>
        <v>#VALUE!</v>
      </c>
      <c r="CD55" s="41" t="e">
        <f t="shared" si="27"/>
        <v>#VALUE!</v>
      </c>
      <c r="CE55" s="41" t="e">
        <f t="shared" si="27"/>
        <v>#VALUE!</v>
      </c>
      <c r="CF55" s="41" t="e">
        <f t="shared" si="27"/>
        <v>#VALUE!</v>
      </c>
      <c r="CG55" s="41" t="e">
        <f t="shared" si="27"/>
        <v>#VALUE!</v>
      </c>
      <c r="CH55" s="41" t="e">
        <f t="shared" si="27"/>
        <v>#VALUE!</v>
      </c>
      <c r="CI55" s="41" t="e">
        <f t="shared" si="27"/>
        <v>#VALUE!</v>
      </c>
      <c r="CJ55" s="41" t="e">
        <f t="shared" si="27"/>
        <v>#VALUE!</v>
      </c>
      <c r="CK55" s="41" t="e">
        <f t="shared" si="27"/>
        <v>#VALUE!</v>
      </c>
      <c r="CL55" s="41" t="e">
        <f t="shared" si="27"/>
        <v>#VALUE!</v>
      </c>
      <c r="CM55" s="41" t="e">
        <f t="shared" si="27"/>
        <v>#VALUE!</v>
      </c>
      <c r="CN55" s="41" t="e">
        <f t="shared" si="27"/>
        <v>#VALUE!</v>
      </c>
      <c r="CO55" s="41" t="e">
        <f t="shared" si="27"/>
        <v>#VALUE!</v>
      </c>
      <c r="CP55" s="41" t="e">
        <f t="shared" si="27"/>
        <v>#VALUE!</v>
      </c>
      <c r="CQ55" s="41" t="e">
        <f t="shared" si="27"/>
        <v>#VALUE!</v>
      </c>
      <c r="CR55" s="41" t="e">
        <f t="shared" si="27"/>
        <v>#VALUE!</v>
      </c>
      <c r="CS55" s="41" t="e">
        <f t="shared" si="27"/>
        <v>#VALUE!</v>
      </c>
      <c r="CT55" s="41" t="e">
        <f t="shared" si="27"/>
        <v>#VALUE!</v>
      </c>
      <c r="CU55" s="41" t="e">
        <f t="shared" si="27"/>
        <v>#VALUE!</v>
      </c>
      <c r="CV55" s="41" t="e">
        <f t="shared" si="27"/>
        <v>#VALUE!</v>
      </c>
      <c r="CW55" s="41" t="e">
        <f t="shared" si="27"/>
        <v>#VALUE!</v>
      </c>
      <c r="CX55" s="41" t="e">
        <f t="shared" si="27"/>
        <v>#VALUE!</v>
      </c>
      <c r="CY55" s="41" t="e">
        <f t="shared" si="27"/>
        <v>#VALUE!</v>
      </c>
      <c r="CZ55" s="41" t="e">
        <f t="shared" si="27"/>
        <v>#VALUE!</v>
      </c>
      <c r="DA55" s="41" t="e">
        <f t="shared" si="27"/>
        <v>#VALUE!</v>
      </c>
    </row>
    <row r="56" spans="2:105" x14ac:dyDescent="0.25">
      <c r="B56" t="s">
        <v>8</v>
      </c>
      <c r="E56" s="41" t="e">
        <f>IF(ISNUMBER(FIND("R",$B$16)),(E30-E8)^2,(E31-E8)^2)</f>
        <v>#VALUE!</v>
      </c>
      <c r="F56" s="41" t="e">
        <f t="shared" ref="F56:BQ56" si="28">IF(ISNUMBER(FIND("R",$B$16)),(F30-F8)^2,(F31-F8)^2)</f>
        <v>#VALUE!</v>
      </c>
      <c r="G56" s="41" t="e">
        <f t="shared" si="28"/>
        <v>#VALUE!</v>
      </c>
      <c r="H56" s="41" t="e">
        <f t="shared" si="28"/>
        <v>#VALUE!</v>
      </c>
      <c r="I56" s="41" t="e">
        <f t="shared" si="28"/>
        <v>#VALUE!</v>
      </c>
      <c r="J56" s="41" t="e">
        <f t="shared" si="28"/>
        <v>#VALUE!</v>
      </c>
      <c r="K56" s="41" t="e">
        <f t="shared" si="28"/>
        <v>#VALUE!</v>
      </c>
      <c r="L56" s="41" t="e">
        <f t="shared" si="28"/>
        <v>#VALUE!</v>
      </c>
      <c r="M56" s="41" t="e">
        <f t="shared" si="28"/>
        <v>#VALUE!</v>
      </c>
      <c r="N56" s="41" t="e">
        <f t="shared" si="28"/>
        <v>#VALUE!</v>
      </c>
      <c r="O56" s="41" t="e">
        <f t="shared" si="28"/>
        <v>#VALUE!</v>
      </c>
      <c r="P56" s="41" t="e">
        <f t="shared" si="28"/>
        <v>#VALUE!</v>
      </c>
      <c r="Q56" s="41" t="e">
        <f t="shared" si="28"/>
        <v>#VALUE!</v>
      </c>
      <c r="R56" s="41" t="e">
        <f t="shared" si="28"/>
        <v>#VALUE!</v>
      </c>
      <c r="S56" s="41" t="e">
        <f t="shared" si="28"/>
        <v>#VALUE!</v>
      </c>
      <c r="T56" s="41" t="e">
        <f t="shared" si="28"/>
        <v>#VALUE!</v>
      </c>
      <c r="U56" s="41" t="e">
        <f t="shared" si="28"/>
        <v>#VALUE!</v>
      </c>
      <c r="V56" s="41" t="e">
        <f t="shared" si="28"/>
        <v>#VALUE!</v>
      </c>
      <c r="W56" s="41" t="e">
        <f t="shared" si="28"/>
        <v>#VALUE!</v>
      </c>
      <c r="X56" s="41" t="e">
        <f t="shared" si="28"/>
        <v>#VALUE!</v>
      </c>
      <c r="Y56" s="41" t="e">
        <f t="shared" si="28"/>
        <v>#VALUE!</v>
      </c>
      <c r="Z56" s="41" t="e">
        <f t="shared" si="28"/>
        <v>#VALUE!</v>
      </c>
      <c r="AA56" s="41" t="e">
        <f t="shared" si="28"/>
        <v>#VALUE!</v>
      </c>
      <c r="AB56" s="41" t="e">
        <f t="shared" si="28"/>
        <v>#VALUE!</v>
      </c>
      <c r="AC56" s="41" t="e">
        <f t="shared" si="28"/>
        <v>#VALUE!</v>
      </c>
      <c r="AD56" s="41" t="e">
        <f t="shared" si="28"/>
        <v>#VALUE!</v>
      </c>
      <c r="AE56" s="41" t="e">
        <f t="shared" si="28"/>
        <v>#VALUE!</v>
      </c>
      <c r="AF56" s="41" t="e">
        <f t="shared" si="28"/>
        <v>#VALUE!</v>
      </c>
      <c r="AG56" s="41" t="e">
        <f t="shared" si="28"/>
        <v>#VALUE!</v>
      </c>
      <c r="AH56" s="41" t="e">
        <f t="shared" si="28"/>
        <v>#VALUE!</v>
      </c>
      <c r="AI56" s="41" t="e">
        <f t="shared" si="28"/>
        <v>#VALUE!</v>
      </c>
      <c r="AJ56" s="41" t="e">
        <f t="shared" si="28"/>
        <v>#VALUE!</v>
      </c>
      <c r="AK56" s="41" t="e">
        <f t="shared" si="28"/>
        <v>#VALUE!</v>
      </c>
      <c r="AL56" s="41" t="e">
        <f t="shared" si="28"/>
        <v>#VALUE!</v>
      </c>
      <c r="AM56" s="41" t="e">
        <f t="shared" si="28"/>
        <v>#VALUE!</v>
      </c>
      <c r="AN56" s="41" t="e">
        <f t="shared" si="28"/>
        <v>#VALUE!</v>
      </c>
      <c r="AO56" s="41" t="e">
        <f t="shared" si="28"/>
        <v>#VALUE!</v>
      </c>
      <c r="AP56" s="41" t="e">
        <f t="shared" si="28"/>
        <v>#VALUE!</v>
      </c>
      <c r="AQ56" s="41" t="e">
        <f t="shared" si="28"/>
        <v>#VALUE!</v>
      </c>
      <c r="AR56" s="41" t="e">
        <f t="shared" si="28"/>
        <v>#VALUE!</v>
      </c>
      <c r="AS56" s="41" t="e">
        <f t="shared" si="28"/>
        <v>#VALUE!</v>
      </c>
      <c r="AT56" s="41" t="e">
        <f t="shared" si="28"/>
        <v>#VALUE!</v>
      </c>
      <c r="AU56" s="41" t="e">
        <f t="shared" si="28"/>
        <v>#VALUE!</v>
      </c>
      <c r="AV56" s="41" t="e">
        <f t="shared" si="28"/>
        <v>#VALUE!</v>
      </c>
      <c r="AW56" s="41" t="e">
        <f t="shared" si="28"/>
        <v>#VALUE!</v>
      </c>
      <c r="AX56" s="41" t="e">
        <f t="shared" si="28"/>
        <v>#VALUE!</v>
      </c>
      <c r="AY56" s="41" t="e">
        <f t="shared" si="28"/>
        <v>#VALUE!</v>
      </c>
      <c r="AZ56" s="41" t="e">
        <f t="shared" si="28"/>
        <v>#VALUE!</v>
      </c>
      <c r="BA56" s="41" t="e">
        <f t="shared" si="28"/>
        <v>#VALUE!</v>
      </c>
      <c r="BB56" s="41" t="e">
        <f t="shared" si="28"/>
        <v>#VALUE!</v>
      </c>
      <c r="BC56" s="41" t="e">
        <f t="shared" si="28"/>
        <v>#VALUE!</v>
      </c>
      <c r="BD56" s="41" t="e">
        <f t="shared" si="28"/>
        <v>#VALUE!</v>
      </c>
      <c r="BE56" s="41" t="e">
        <f t="shared" si="28"/>
        <v>#VALUE!</v>
      </c>
      <c r="BF56" s="41" t="e">
        <f t="shared" si="28"/>
        <v>#VALUE!</v>
      </c>
      <c r="BG56" s="41" t="e">
        <f t="shared" si="28"/>
        <v>#VALUE!</v>
      </c>
      <c r="BH56" s="41" t="e">
        <f t="shared" si="28"/>
        <v>#VALUE!</v>
      </c>
      <c r="BI56" s="41" t="e">
        <f t="shared" si="28"/>
        <v>#VALUE!</v>
      </c>
      <c r="BJ56" s="41" t="e">
        <f t="shared" si="28"/>
        <v>#VALUE!</v>
      </c>
      <c r="BK56" s="41" t="e">
        <f t="shared" si="28"/>
        <v>#VALUE!</v>
      </c>
      <c r="BL56" s="41" t="e">
        <f t="shared" si="28"/>
        <v>#VALUE!</v>
      </c>
      <c r="BM56" s="41" t="e">
        <f t="shared" si="28"/>
        <v>#VALUE!</v>
      </c>
      <c r="BN56" s="41" t="e">
        <f t="shared" si="28"/>
        <v>#VALUE!</v>
      </c>
      <c r="BO56" s="41" t="e">
        <f t="shared" si="28"/>
        <v>#VALUE!</v>
      </c>
      <c r="BP56" s="41" t="e">
        <f t="shared" si="28"/>
        <v>#VALUE!</v>
      </c>
      <c r="BQ56" s="41" t="e">
        <f t="shared" si="28"/>
        <v>#VALUE!</v>
      </c>
      <c r="BR56" s="41" t="e">
        <f t="shared" ref="BR56:DA56" si="29">IF(ISNUMBER(FIND("R",$B$16)),(BR30-BR8)^2,(BR31-BR8)^2)</f>
        <v>#VALUE!</v>
      </c>
      <c r="BS56" s="41" t="e">
        <f t="shared" si="29"/>
        <v>#VALUE!</v>
      </c>
      <c r="BT56" s="41" t="e">
        <f t="shared" si="29"/>
        <v>#VALUE!</v>
      </c>
      <c r="BU56" s="41" t="e">
        <f t="shared" si="29"/>
        <v>#VALUE!</v>
      </c>
      <c r="BV56" s="41" t="e">
        <f t="shared" si="29"/>
        <v>#VALUE!</v>
      </c>
      <c r="BW56" s="41" t="e">
        <f t="shared" si="29"/>
        <v>#VALUE!</v>
      </c>
      <c r="BX56" s="41" t="e">
        <f t="shared" si="29"/>
        <v>#VALUE!</v>
      </c>
      <c r="BY56" s="41" t="e">
        <f t="shared" si="29"/>
        <v>#VALUE!</v>
      </c>
      <c r="BZ56" s="41" t="e">
        <f t="shared" si="29"/>
        <v>#VALUE!</v>
      </c>
      <c r="CA56" s="41" t="e">
        <f t="shared" si="29"/>
        <v>#VALUE!</v>
      </c>
      <c r="CB56" s="41" t="e">
        <f t="shared" si="29"/>
        <v>#VALUE!</v>
      </c>
      <c r="CC56" s="41" t="e">
        <f t="shared" si="29"/>
        <v>#VALUE!</v>
      </c>
      <c r="CD56" s="41" t="e">
        <f t="shared" si="29"/>
        <v>#VALUE!</v>
      </c>
      <c r="CE56" s="41" t="e">
        <f t="shared" si="29"/>
        <v>#VALUE!</v>
      </c>
      <c r="CF56" s="41" t="e">
        <f t="shared" si="29"/>
        <v>#VALUE!</v>
      </c>
      <c r="CG56" s="41" t="e">
        <f t="shared" si="29"/>
        <v>#VALUE!</v>
      </c>
      <c r="CH56" s="41" t="e">
        <f t="shared" si="29"/>
        <v>#VALUE!</v>
      </c>
      <c r="CI56" s="41" t="e">
        <f t="shared" si="29"/>
        <v>#VALUE!</v>
      </c>
      <c r="CJ56" s="41" t="e">
        <f t="shared" si="29"/>
        <v>#VALUE!</v>
      </c>
      <c r="CK56" s="41" t="e">
        <f t="shared" si="29"/>
        <v>#VALUE!</v>
      </c>
      <c r="CL56" s="41" t="e">
        <f t="shared" si="29"/>
        <v>#VALUE!</v>
      </c>
      <c r="CM56" s="41" t="e">
        <f t="shared" si="29"/>
        <v>#VALUE!</v>
      </c>
      <c r="CN56" s="41" t="e">
        <f t="shared" si="29"/>
        <v>#VALUE!</v>
      </c>
      <c r="CO56" s="41" t="e">
        <f t="shared" si="29"/>
        <v>#VALUE!</v>
      </c>
      <c r="CP56" s="41" t="e">
        <f t="shared" si="29"/>
        <v>#VALUE!</v>
      </c>
      <c r="CQ56" s="41" t="e">
        <f t="shared" si="29"/>
        <v>#VALUE!</v>
      </c>
      <c r="CR56" s="41" t="e">
        <f t="shared" si="29"/>
        <v>#VALUE!</v>
      </c>
      <c r="CS56" s="41" t="e">
        <f t="shared" si="29"/>
        <v>#VALUE!</v>
      </c>
      <c r="CT56" s="41" t="e">
        <f t="shared" si="29"/>
        <v>#VALUE!</v>
      </c>
      <c r="CU56" s="41" t="e">
        <f t="shared" si="29"/>
        <v>#VALUE!</v>
      </c>
      <c r="CV56" s="41" t="e">
        <f t="shared" si="29"/>
        <v>#VALUE!</v>
      </c>
      <c r="CW56" s="41" t="e">
        <f t="shared" si="29"/>
        <v>#VALUE!</v>
      </c>
      <c r="CX56" s="41" t="e">
        <f t="shared" si="29"/>
        <v>#VALUE!</v>
      </c>
      <c r="CY56" s="41" t="e">
        <f t="shared" si="29"/>
        <v>#VALUE!</v>
      </c>
      <c r="CZ56" s="41" t="e">
        <f t="shared" si="29"/>
        <v>#VALUE!</v>
      </c>
      <c r="DA56" s="41" t="e">
        <f t="shared" si="29"/>
        <v>#VALUE!</v>
      </c>
    </row>
    <row r="57" spans="2:105" x14ac:dyDescent="0.25">
      <c r="B57" t="s">
        <v>7</v>
      </c>
      <c r="E57" s="41" t="e">
        <f>IF(ISNUMBER(FIND("R",$B$16)),(E31-E8)^2,(E30-E8)^2)</f>
        <v>#VALUE!</v>
      </c>
      <c r="F57" s="41" t="e">
        <f t="shared" ref="F57:BQ57" si="30">IF(ISNUMBER(FIND("R",$B$16)),(F31-F8)^2,(F30-F8)^2)</f>
        <v>#VALUE!</v>
      </c>
      <c r="G57" s="41" t="e">
        <f t="shared" si="30"/>
        <v>#VALUE!</v>
      </c>
      <c r="H57" s="41" t="e">
        <f t="shared" si="30"/>
        <v>#VALUE!</v>
      </c>
      <c r="I57" s="41" t="e">
        <f t="shared" si="30"/>
        <v>#VALUE!</v>
      </c>
      <c r="J57" s="41" t="e">
        <f t="shared" si="30"/>
        <v>#VALUE!</v>
      </c>
      <c r="K57" s="41" t="e">
        <f t="shared" si="30"/>
        <v>#VALUE!</v>
      </c>
      <c r="L57" s="41" t="e">
        <f t="shared" si="30"/>
        <v>#VALUE!</v>
      </c>
      <c r="M57" s="41" t="e">
        <f t="shared" si="30"/>
        <v>#VALUE!</v>
      </c>
      <c r="N57" s="41" t="e">
        <f t="shared" si="30"/>
        <v>#VALUE!</v>
      </c>
      <c r="O57" s="41" t="e">
        <f t="shared" si="30"/>
        <v>#VALUE!</v>
      </c>
      <c r="P57" s="41" t="e">
        <f t="shared" si="30"/>
        <v>#VALUE!</v>
      </c>
      <c r="Q57" s="41" t="e">
        <f t="shared" si="30"/>
        <v>#VALUE!</v>
      </c>
      <c r="R57" s="41" t="e">
        <f t="shared" si="30"/>
        <v>#VALUE!</v>
      </c>
      <c r="S57" s="41" t="e">
        <f t="shared" si="30"/>
        <v>#VALUE!</v>
      </c>
      <c r="T57" s="41" t="e">
        <f t="shared" si="30"/>
        <v>#VALUE!</v>
      </c>
      <c r="U57" s="41" t="e">
        <f t="shared" si="30"/>
        <v>#VALUE!</v>
      </c>
      <c r="V57" s="41" t="e">
        <f t="shared" si="30"/>
        <v>#VALUE!</v>
      </c>
      <c r="W57" s="41" t="e">
        <f t="shared" si="30"/>
        <v>#VALUE!</v>
      </c>
      <c r="X57" s="41" t="e">
        <f t="shared" si="30"/>
        <v>#VALUE!</v>
      </c>
      <c r="Y57" s="41" t="e">
        <f t="shared" si="30"/>
        <v>#VALUE!</v>
      </c>
      <c r="Z57" s="41" t="e">
        <f t="shared" si="30"/>
        <v>#VALUE!</v>
      </c>
      <c r="AA57" s="41" t="e">
        <f t="shared" si="30"/>
        <v>#VALUE!</v>
      </c>
      <c r="AB57" s="41" t="e">
        <f t="shared" si="30"/>
        <v>#VALUE!</v>
      </c>
      <c r="AC57" s="41" t="e">
        <f t="shared" si="30"/>
        <v>#VALUE!</v>
      </c>
      <c r="AD57" s="41" t="e">
        <f t="shared" si="30"/>
        <v>#VALUE!</v>
      </c>
      <c r="AE57" s="41" t="e">
        <f t="shared" si="30"/>
        <v>#VALUE!</v>
      </c>
      <c r="AF57" s="41" t="e">
        <f t="shared" si="30"/>
        <v>#VALUE!</v>
      </c>
      <c r="AG57" s="41" t="e">
        <f t="shared" si="30"/>
        <v>#VALUE!</v>
      </c>
      <c r="AH57" s="41" t="e">
        <f t="shared" si="30"/>
        <v>#VALUE!</v>
      </c>
      <c r="AI57" s="41" t="e">
        <f t="shared" si="30"/>
        <v>#VALUE!</v>
      </c>
      <c r="AJ57" s="41" t="e">
        <f t="shared" si="30"/>
        <v>#VALUE!</v>
      </c>
      <c r="AK57" s="41" t="e">
        <f t="shared" si="30"/>
        <v>#VALUE!</v>
      </c>
      <c r="AL57" s="41" t="e">
        <f t="shared" si="30"/>
        <v>#VALUE!</v>
      </c>
      <c r="AM57" s="41" t="e">
        <f t="shared" si="30"/>
        <v>#VALUE!</v>
      </c>
      <c r="AN57" s="41" t="e">
        <f t="shared" si="30"/>
        <v>#VALUE!</v>
      </c>
      <c r="AO57" s="41" t="e">
        <f t="shared" si="30"/>
        <v>#VALUE!</v>
      </c>
      <c r="AP57" s="41" t="e">
        <f t="shared" si="30"/>
        <v>#VALUE!</v>
      </c>
      <c r="AQ57" s="41" t="e">
        <f t="shared" si="30"/>
        <v>#VALUE!</v>
      </c>
      <c r="AR57" s="41" t="e">
        <f t="shared" si="30"/>
        <v>#VALUE!</v>
      </c>
      <c r="AS57" s="41" t="e">
        <f t="shared" si="30"/>
        <v>#VALUE!</v>
      </c>
      <c r="AT57" s="41" t="e">
        <f t="shared" si="30"/>
        <v>#VALUE!</v>
      </c>
      <c r="AU57" s="41" t="e">
        <f t="shared" si="30"/>
        <v>#VALUE!</v>
      </c>
      <c r="AV57" s="41" t="e">
        <f t="shared" si="30"/>
        <v>#VALUE!</v>
      </c>
      <c r="AW57" s="41" t="e">
        <f t="shared" si="30"/>
        <v>#VALUE!</v>
      </c>
      <c r="AX57" s="41" t="e">
        <f t="shared" si="30"/>
        <v>#VALUE!</v>
      </c>
      <c r="AY57" s="41" t="e">
        <f t="shared" si="30"/>
        <v>#VALUE!</v>
      </c>
      <c r="AZ57" s="41" t="e">
        <f t="shared" si="30"/>
        <v>#VALUE!</v>
      </c>
      <c r="BA57" s="41" t="e">
        <f t="shared" si="30"/>
        <v>#VALUE!</v>
      </c>
      <c r="BB57" s="41" t="e">
        <f t="shared" si="30"/>
        <v>#VALUE!</v>
      </c>
      <c r="BC57" s="41" t="e">
        <f t="shared" si="30"/>
        <v>#VALUE!</v>
      </c>
      <c r="BD57" s="41" t="e">
        <f t="shared" si="30"/>
        <v>#VALUE!</v>
      </c>
      <c r="BE57" s="41" t="e">
        <f t="shared" si="30"/>
        <v>#VALUE!</v>
      </c>
      <c r="BF57" s="41" t="e">
        <f t="shared" si="30"/>
        <v>#VALUE!</v>
      </c>
      <c r="BG57" s="41" t="e">
        <f t="shared" si="30"/>
        <v>#VALUE!</v>
      </c>
      <c r="BH57" s="41" t="e">
        <f t="shared" si="30"/>
        <v>#VALUE!</v>
      </c>
      <c r="BI57" s="41" t="e">
        <f t="shared" si="30"/>
        <v>#VALUE!</v>
      </c>
      <c r="BJ57" s="41" t="e">
        <f t="shared" si="30"/>
        <v>#VALUE!</v>
      </c>
      <c r="BK57" s="41" t="e">
        <f t="shared" si="30"/>
        <v>#VALUE!</v>
      </c>
      <c r="BL57" s="41" t="e">
        <f t="shared" si="30"/>
        <v>#VALUE!</v>
      </c>
      <c r="BM57" s="41" t="e">
        <f t="shared" si="30"/>
        <v>#VALUE!</v>
      </c>
      <c r="BN57" s="41" t="e">
        <f t="shared" si="30"/>
        <v>#VALUE!</v>
      </c>
      <c r="BO57" s="41" t="e">
        <f t="shared" si="30"/>
        <v>#VALUE!</v>
      </c>
      <c r="BP57" s="41" t="e">
        <f t="shared" si="30"/>
        <v>#VALUE!</v>
      </c>
      <c r="BQ57" s="41" t="e">
        <f t="shared" si="30"/>
        <v>#VALUE!</v>
      </c>
      <c r="BR57" s="41" t="e">
        <f t="shared" ref="BR57:DA57" si="31">IF(ISNUMBER(FIND("R",$B$16)),(BR31-BR8)^2,(BR30-BR8)^2)</f>
        <v>#VALUE!</v>
      </c>
      <c r="BS57" s="41" t="e">
        <f t="shared" si="31"/>
        <v>#VALUE!</v>
      </c>
      <c r="BT57" s="41" t="e">
        <f t="shared" si="31"/>
        <v>#VALUE!</v>
      </c>
      <c r="BU57" s="41" t="e">
        <f t="shared" si="31"/>
        <v>#VALUE!</v>
      </c>
      <c r="BV57" s="41" t="e">
        <f t="shared" si="31"/>
        <v>#VALUE!</v>
      </c>
      <c r="BW57" s="41" t="e">
        <f t="shared" si="31"/>
        <v>#VALUE!</v>
      </c>
      <c r="BX57" s="41" t="e">
        <f t="shared" si="31"/>
        <v>#VALUE!</v>
      </c>
      <c r="BY57" s="41" t="e">
        <f t="shared" si="31"/>
        <v>#VALUE!</v>
      </c>
      <c r="BZ57" s="41" t="e">
        <f t="shared" si="31"/>
        <v>#VALUE!</v>
      </c>
      <c r="CA57" s="41" t="e">
        <f t="shared" si="31"/>
        <v>#VALUE!</v>
      </c>
      <c r="CB57" s="41" t="e">
        <f t="shared" si="31"/>
        <v>#VALUE!</v>
      </c>
      <c r="CC57" s="41" t="e">
        <f t="shared" si="31"/>
        <v>#VALUE!</v>
      </c>
      <c r="CD57" s="41" t="e">
        <f t="shared" si="31"/>
        <v>#VALUE!</v>
      </c>
      <c r="CE57" s="41" t="e">
        <f t="shared" si="31"/>
        <v>#VALUE!</v>
      </c>
      <c r="CF57" s="41" t="e">
        <f t="shared" si="31"/>
        <v>#VALUE!</v>
      </c>
      <c r="CG57" s="41" t="e">
        <f t="shared" si="31"/>
        <v>#VALUE!</v>
      </c>
      <c r="CH57" s="41" t="e">
        <f t="shared" si="31"/>
        <v>#VALUE!</v>
      </c>
      <c r="CI57" s="41" t="e">
        <f t="shared" si="31"/>
        <v>#VALUE!</v>
      </c>
      <c r="CJ57" s="41" t="e">
        <f t="shared" si="31"/>
        <v>#VALUE!</v>
      </c>
      <c r="CK57" s="41" t="e">
        <f t="shared" si="31"/>
        <v>#VALUE!</v>
      </c>
      <c r="CL57" s="41" t="e">
        <f t="shared" si="31"/>
        <v>#VALUE!</v>
      </c>
      <c r="CM57" s="41" t="e">
        <f t="shared" si="31"/>
        <v>#VALUE!</v>
      </c>
      <c r="CN57" s="41" t="e">
        <f t="shared" si="31"/>
        <v>#VALUE!</v>
      </c>
      <c r="CO57" s="41" t="e">
        <f t="shared" si="31"/>
        <v>#VALUE!</v>
      </c>
      <c r="CP57" s="41" t="e">
        <f t="shared" si="31"/>
        <v>#VALUE!</v>
      </c>
      <c r="CQ57" s="41" t="e">
        <f t="shared" si="31"/>
        <v>#VALUE!</v>
      </c>
      <c r="CR57" s="41" t="e">
        <f t="shared" si="31"/>
        <v>#VALUE!</v>
      </c>
      <c r="CS57" s="41" t="e">
        <f t="shared" si="31"/>
        <v>#VALUE!</v>
      </c>
      <c r="CT57" s="41" t="e">
        <f t="shared" si="31"/>
        <v>#VALUE!</v>
      </c>
      <c r="CU57" s="41" t="e">
        <f t="shared" si="31"/>
        <v>#VALUE!</v>
      </c>
      <c r="CV57" s="41" t="e">
        <f t="shared" si="31"/>
        <v>#VALUE!</v>
      </c>
      <c r="CW57" s="41" t="e">
        <f t="shared" si="31"/>
        <v>#VALUE!</v>
      </c>
      <c r="CX57" s="41" t="e">
        <f t="shared" si="31"/>
        <v>#VALUE!</v>
      </c>
      <c r="CY57" s="41" t="e">
        <f t="shared" si="31"/>
        <v>#VALUE!</v>
      </c>
      <c r="CZ57" s="41" t="e">
        <f t="shared" si="31"/>
        <v>#VALUE!</v>
      </c>
      <c r="DA57" s="41" t="e">
        <f t="shared" si="31"/>
        <v>#VALUE!</v>
      </c>
    </row>
    <row r="58" spans="2:105" x14ac:dyDescent="0.25">
      <c r="B58" t="s">
        <v>10</v>
      </c>
      <c r="E58" s="41" t="e">
        <f>IF(ISNUMBER(FIND("R",$B$16)),(E32-E9)^2,(E33-E9)^2)</f>
        <v>#VALUE!</v>
      </c>
      <c r="F58" s="41" t="e">
        <f t="shared" ref="F58:BQ58" si="32">IF(ISNUMBER(FIND("R",$B$16)),(F32-F9)^2,(F33-F9)^2)</f>
        <v>#VALUE!</v>
      </c>
      <c r="G58" s="41" t="e">
        <f t="shared" si="32"/>
        <v>#VALUE!</v>
      </c>
      <c r="H58" s="41" t="e">
        <f t="shared" si="32"/>
        <v>#VALUE!</v>
      </c>
      <c r="I58" s="41" t="e">
        <f t="shared" si="32"/>
        <v>#VALUE!</v>
      </c>
      <c r="J58" s="41" t="e">
        <f t="shared" si="32"/>
        <v>#VALUE!</v>
      </c>
      <c r="K58" s="41" t="e">
        <f t="shared" si="32"/>
        <v>#VALUE!</v>
      </c>
      <c r="L58" s="41" t="e">
        <f t="shared" si="32"/>
        <v>#VALUE!</v>
      </c>
      <c r="M58" s="41" t="e">
        <f t="shared" si="32"/>
        <v>#VALUE!</v>
      </c>
      <c r="N58" s="41" t="e">
        <f t="shared" si="32"/>
        <v>#VALUE!</v>
      </c>
      <c r="O58" s="41" t="e">
        <f t="shared" si="32"/>
        <v>#VALUE!</v>
      </c>
      <c r="P58" s="41" t="e">
        <f t="shared" si="32"/>
        <v>#VALUE!</v>
      </c>
      <c r="Q58" s="41" t="e">
        <f t="shared" si="32"/>
        <v>#VALUE!</v>
      </c>
      <c r="R58" s="41" t="e">
        <f t="shared" si="32"/>
        <v>#VALUE!</v>
      </c>
      <c r="S58" s="41" t="e">
        <f t="shared" si="32"/>
        <v>#VALUE!</v>
      </c>
      <c r="T58" s="41" t="e">
        <f t="shared" si="32"/>
        <v>#VALUE!</v>
      </c>
      <c r="U58" s="41" t="e">
        <f t="shared" si="32"/>
        <v>#VALUE!</v>
      </c>
      <c r="V58" s="41" t="e">
        <f t="shared" si="32"/>
        <v>#VALUE!</v>
      </c>
      <c r="W58" s="41" t="e">
        <f t="shared" si="32"/>
        <v>#VALUE!</v>
      </c>
      <c r="X58" s="41" t="e">
        <f t="shared" si="32"/>
        <v>#VALUE!</v>
      </c>
      <c r="Y58" s="41" t="e">
        <f t="shared" si="32"/>
        <v>#VALUE!</v>
      </c>
      <c r="Z58" s="41" t="e">
        <f t="shared" si="32"/>
        <v>#VALUE!</v>
      </c>
      <c r="AA58" s="41" t="e">
        <f t="shared" si="32"/>
        <v>#VALUE!</v>
      </c>
      <c r="AB58" s="41" t="e">
        <f t="shared" si="32"/>
        <v>#VALUE!</v>
      </c>
      <c r="AC58" s="41" t="e">
        <f t="shared" si="32"/>
        <v>#VALUE!</v>
      </c>
      <c r="AD58" s="41" t="e">
        <f t="shared" si="32"/>
        <v>#VALUE!</v>
      </c>
      <c r="AE58" s="41" t="e">
        <f t="shared" si="32"/>
        <v>#VALUE!</v>
      </c>
      <c r="AF58" s="41" t="e">
        <f t="shared" si="32"/>
        <v>#VALUE!</v>
      </c>
      <c r="AG58" s="41" t="e">
        <f t="shared" si="32"/>
        <v>#VALUE!</v>
      </c>
      <c r="AH58" s="41" t="e">
        <f t="shared" si="32"/>
        <v>#VALUE!</v>
      </c>
      <c r="AI58" s="41" t="e">
        <f t="shared" si="32"/>
        <v>#VALUE!</v>
      </c>
      <c r="AJ58" s="41" t="e">
        <f t="shared" si="32"/>
        <v>#VALUE!</v>
      </c>
      <c r="AK58" s="41" t="e">
        <f t="shared" si="32"/>
        <v>#VALUE!</v>
      </c>
      <c r="AL58" s="41" t="e">
        <f t="shared" si="32"/>
        <v>#VALUE!</v>
      </c>
      <c r="AM58" s="41" t="e">
        <f t="shared" si="32"/>
        <v>#VALUE!</v>
      </c>
      <c r="AN58" s="41" t="e">
        <f t="shared" si="32"/>
        <v>#VALUE!</v>
      </c>
      <c r="AO58" s="41" t="e">
        <f t="shared" si="32"/>
        <v>#VALUE!</v>
      </c>
      <c r="AP58" s="41" t="e">
        <f t="shared" si="32"/>
        <v>#VALUE!</v>
      </c>
      <c r="AQ58" s="41" t="e">
        <f t="shared" si="32"/>
        <v>#VALUE!</v>
      </c>
      <c r="AR58" s="41" t="e">
        <f t="shared" si="32"/>
        <v>#VALUE!</v>
      </c>
      <c r="AS58" s="41" t="e">
        <f t="shared" si="32"/>
        <v>#VALUE!</v>
      </c>
      <c r="AT58" s="41" t="e">
        <f t="shared" si="32"/>
        <v>#VALUE!</v>
      </c>
      <c r="AU58" s="41" t="e">
        <f t="shared" si="32"/>
        <v>#VALUE!</v>
      </c>
      <c r="AV58" s="41" t="e">
        <f t="shared" si="32"/>
        <v>#VALUE!</v>
      </c>
      <c r="AW58" s="41" t="e">
        <f t="shared" si="32"/>
        <v>#VALUE!</v>
      </c>
      <c r="AX58" s="41" t="e">
        <f t="shared" si="32"/>
        <v>#VALUE!</v>
      </c>
      <c r="AY58" s="41" t="e">
        <f t="shared" si="32"/>
        <v>#VALUE!</v>
      </c>
      <c r="AZ58" s="41" t="e">
        <f t="shared" si="32"/>
        <v>#VALUE!</v>
      </c>
      <c r="BA58" s="41" t="e">
        <f t="shared" si="32"/>
        <v>#VALUE!</v>
      </c>
      <c r="BB58" s="41" t="e">
        <f t="shared" si="32"/>
        <v>#VALUE!</v>
      </c>
      <c r="BC58" s="41" t="e">
        <f t="shared" si="32"/>
        <v>#VALUE!</v>
      </c>
      <c r="BD58" s="41" t="e">
        <f t="shared" si="32"/>
        <v>#VALUE!</v>
      </c>
      <c r="BE58" s="41" t="e">
        <f t="shared" si="32"/>
        <v>#VALUE!</v>
      </c>
      <c r="BF58" s="41" t="e">
        <f t="shared" si="32"/>
        <v>#VALUE!</v>
      </c>
      <c r="BG58" s="41" t="e">
        <f t="shared" si="32"/>
        <v>#VALUE!</v>
      </c>
      <c r="BH58" s="41" t="e">
        <f t="shared" si="32"/>
        <v>#VALUE!</v>
      </c>
      <c r="BI58" s="41" t="e">
        <f t="shared" si="32"/>
        <v>#VALUE!</v>
      </c>
      <c r="BJ58" s="41" t="e">
        <f t="shared" si="32"/>
        <v>#VALUE!</v>
      </c>
      <c r="BK58" s="41" t="e">
        <f t="shared" si="32"/>
        <v>#VALUE!</v>
      </c>
      <c r="BL58" s="41" t="e">
        <f t="shared" si="32"/>
        <v>#VALUE!</v>
      </c>
      <c r="BM58" s="41" t="e">
        <f t="shared" si="32"/>
        <v>#VALUE!</v>
      </c>
      <c r="BN58" s="41" t="e">
        <f t="shared" si="32"/>
        <v>#VALUE!</v>
      </c>
      <c r="BO58" s="41" t="e">
        <f t="shared" si="32"/>
        <v>#VALUE!</v>
      </c>
      <c r="BP58" s="41" t="e">
        <f t="shared" si="32"/>
        <v>#VALUE!</v>
      </c>
      <c r="BQ58" s="41" t="e">
        <f t="shared" si="32"/>
        <v>#VALUE!</v>
      </c>
      <c r="BR58" s="41" t="e">
        <f t="shared" ref="BR58:DA58" si="33">IF(ISNUMBER(FIND("R",$B$16)),(BR32-BR9)^2,(BR33-BR9)^2)</f>
        <v>#VALUE!</v>
      </c>
      <c r="BS58" s="41" t="e">
        <f t="shared" si="33"/>
        <v>#VALUE!</v>
      </c>
      <c r="BT58" s="41" t="e">
        <f t="shared" si="33"/>
        <v>#VALUE!</v>
      </c>
      <c r="BU58" s="41" t="e">
        <f t="shared" si="33"/>
        <v>#VALUE!</v>
      </c>
      <c r="BV58" s="41" t="e">
        <f t="shared" si="33"/>
        <v>#VALUE!</v>
      </c>
      <c r="BW58" s="41" t="e">
        <f t="shared" si="33"/>
        <v>#VALUE!</v>
      </c>
      <c r="BX58" s="41" t="e">
        <f t="shared" si="33"/>
        <v>#VALUE!</v>
      </c>
      <c r="BY58" s="41" t="e">
        <f t="shared" si="33"/>
        <v>#VALUE!</v>
      </c>
      <c r="BZ58" s="41" t="e">
        <f t="shared" si="33"/>
        <v>#VALUE!</v>
      </c>
      <c r="CA58" s="41" t="e">
        <f t="shared" si="33"/>
        <v>#VALUE!</v>
      </c>
      <c r="CB58" s="41" t="e">
        <f t="shared" si="33"/>
        <v>#VALUE!</v>
      </c>
      <c r="CC58" s="41" t="e">
        <f t="shared" si="33"/>
        <v>#VALUE!</v>
      </c>
      <c r="CD58" s="41" t="e">
        <f t="shared" si="33"/>
        <v>#VALUE!</v>
      </c>
      <c r="CE58" s="41" t="e">
        <f t="shared" si="33"/>
        <v>#VALUE!</v>
      </c>
      <c r="CF58" s="41" t="e">
        <f t="shared" si="33"/>
        <v>#VALUE!</v>
      </c>
      <c r="CG58" s="41" t="e">
        <f t="shared" si="33"/>
        <v>#VALUE!</v>
      </c>
      <c r="CH58" s="41" t="e">
        <f t="shared" si="33"/>
        <v>#VALUE!</v>
      </c>
      <c r="CI58" s="41" t="e">
        <f t="shared" si="33"/>
        <v>#VALUE!</v>
      </c>
      <c r="CJ58" s="41" t="e">
        <f t="shared" si="33"/>
        <v>#VALUE!</v>
      </c>
      <c r="CK58" s="41" t="e">
        <f t="shared" si="33"/>
        <v>#VALUE!</v>
      </c>
      <c r="CL58" s="41" t="e">
        <f t="shared" si="33"/>
        <v>#VALUE!</v>
      </c>
      <c r="CM58" s="41" t="e">
        <f t="shared" si="33"/>
        <v>#VALUE!</v>
      </c>
      <c r="CN58" s="41" t="e">
        <f t="shared" si="33"/>
        <v>#VALUE!</v>
      </c>
      <c r="CO58" s="41" t="e">
        <f t="shared" si="33"/>
        <v>#VALUE!</v>
      </c>
      <c r="CP58" s="41" t="e">
        <f t="shared" si="33"/>
        <v>#VALUE!</v>
      </c>
      <c r="CQ58" s="41" t="e">
        <f t="shared" si="33"/>
        <v>#VALUE!</v>
      </c>
      <c r="CR58" s="41" t="e">
        <f t="shared" si="33"/>
        <v>#VALUE!</v>
      </c>
      <c r="CS58" s="41" t="e">
        <f t="shared" si="33"/>
        <v>#VALUE!</v>
      </c>
      <c r="CT58" s="41" t="e">
        <f t="shared" si="33"/>
        <v>#VALUE!</v>
      </c>
      <c r="CU58" s="41" t="e">
        <f t="shared" si="33"/>
        <v>#VALUE!</v>
      </c>
      <c r="CV58" s="41" t="e">
        <f t="shared" si="33"/>
        <v>#VALUE!</v>
      </c>
      <c r="CW58" s="41" t="e">
        <f t="shared" si="33"/>
        <v>#VALUE!</v>
      </c>
      <c r="CX58" s="41" t="e">
        <f t="shared" si="33"/>
        <v>#VALUE!</v>
      </c>
      <c r="CY58" s="41" t="e">
        <f t="shared" si="33"/>
        <v>#VALUE!</v>
      </c>
      <c r="CZ58" s="41" t="e">
        <f t="shared" si="33"/>
        <v>#VALUE!</v>
      </c>
      <c r="DA58" s="41" t="e">
        <f t="shared" si="33"/>
        <v>#VALUE!</v>
      </c>
    </row>
    <row r="59" spans="2:105" x14ac:dyDescent="0.25">
      <c r="B59" t="s">
        <v>9</v>
      </c>
      <c r="E59" s="41" t="e">
        <f>IF(ISNUMBER(FIND("R",$B$16)),(E33-E9)^2,(E32-E9)^2)</f>
        <v>#VALUE!</v>
      </c>
      <c r="F59" s="41" t="e">
        <f t="shared" ref="F59:BQ59" si="34">IF(ISNUMBER(FIND("R",$B$16)),(F33-F9)^2,(F32-F9)^2)</f>
        <v>#VALUE!</v>
      </c>
      <c r="G59" s="41" t="e">
        <f t="shared" si="34"/>
        <v>#VALUE!</v>
      </c>
      <c r="H59" s="41" t="e">
        <f t="shared" si="34"/>
        <v>#VALUE!</v>
      </c>
      <c r="I59" s="41" t="e">
        <f t="shared" si="34"/>
        <v>#VALUE!</v>
      </c>
      <c r="J59" s="41" t="e">
        <f t="shared" si="34"/>
        <v>#VALUE!</v>
      </c>
      <c r="K59" s="41" t="e">
        <f t="shared" si="34"/>
        <v>#VALUE!</v>
      </c>
      <c r="L59" s="41" t="e">
        <f t="shared" si="34"/>
        <v>#VALUE!</v>
      </c>
      <c r="M59" s="41" t="e">
        <f t="shared" si="34"/>
        <v>#VALUE!</v>
      </c>
      <c r="N59" s="41" t="e">
        <f t="shared" si="34"/>
        <v>#VALUE!</v>
      </c>
      <c r="O59" s="41" t="e">
        <f t="shared" si="34"/>
        <v>#VALUE!</v>
      </c>
      <c r="P59" s="41" t="e">
        <f t="shared" si="34"/>
        <v>#VALUE!</v>
      </c>
      <c r="Q59" s="41" t="e">
        <f t="shared" si="34"/>
        <v>#VALUE!</v>
      </c>
      <c r="R59" s="41" t="e">
        <f t="shared" si="34"/>
        <v>#VALUE!</v>
      </c>
      <c r="S59" s="41" t="e">
        <f t="shared" si="34"/>
        <v>#VALUE!</v>
      </c>
      <c r="T59" s="41" t="e">
        <f t="shared" si="34"/>
        <v>#VALUE!</v>
      </c>
      <c r="U59" s="41" t="e">
        <f t="shared" si="34"/>
        <v>#VALUE!</v>
      </c>
      <c r="V59" s="41" t="e">
        <f t="shared" si="34"/>
        <v>#VALUE!</v>
      </c>
      <c r="W59" s="41" t="e">
        <f t="shared" si="34"/>
        <v>#VALUE!</v>
      </c>
      <c r="X59" s="41" t="e">
        <f t="shared" si="34"/>
        <v>#VALUE!</v>
      </c>
      <c r="Y59" s="41" t="e">
        <f t="shared" si="34"/>
        <v>#VALUE!</v>
      </c>
      <c r="Z59" s="41" t="e">
        <f t="shared" si="34"/>
        <v>#VALUE!</v>
      </c>
      <c r="AA59" s="41" t="e">
        <f t="shared" si="34"/>
        <v>#VALUE!</v>
      </c>
      <c r="AB59" s="41" t="e">
        <f t="shared" si="34"/>
        <v>#VALUE!</v>
      </c>
      <c r="AC59" s="41" t="e">
        <f t="shared" si="34"/>
        <v>#VALUE!</v>
      </c>
      <c r="AD59" s="41" t="e">
        <f t="shared" si="34"/>
        <v>#VALUE!</v>
      </c>
      <c r="AE59" s="41" t="e">
        <f t="shared" si="34"/>
        <v>#VALUE!</v>
      </c>
      <c r="AF59" s="41" t="e">
        <f t="shared" si="34"/>
        <v>#VALUE!</v>
      </c>
      <c r="AG59" s="41" t="e">
        <f t="shared" si="34"/>
        <v>#VALUE!</v>
      </c>
      <c r="AH59" s="41" t="e">
        <f t="shared" si="34"/>
        <v>#VALUE!</v>
      </c>
      <c r="AI59" s="41" t="e">
        <f t="shared" si="34"/>
        <v>#VALUE!</v>
      </c>
      <c r="AJ59" s="41" t="e">
        <f t="shared" si="34"/>
        <v>#VALUE!</v>
      </c>
      <c r="AK59" s="41" t="e">
        <f t="shared" si="34"/>
        <v>#VALUE!</v>
      </c>
      <c r="AL59" s="41" t="e">
        <f t="shared" si="34"/>
        <v>#VALUE!</v>
      </c>
      <c r="AM59" s="41" t="e">
        <f t="shared" si="34"/>
        <v>#VALUE!</v>
      </c>
      <c r="AN59" s="41" t="e">
        <f t="shared" si="34"/>
        <v>#VALUE!</v>
      </c>
      <c r="AO59" s="41" t="e">
        <f t="shared" si="34"/>
        <v>#VALUE!</v>
      </c>
      <c r="AP59" s="41" t="e">
        <f t="shared" si="34"/>
        <v>#VALUE!</v>
      </c>
      <c r="AQ59" s="41" t="e">
        <f t="shared" si="34"/>
        <v>#VALUE!</v>
      </c>
      <c r="AR59" s="41" t="e">
        <f t="shared" si="34"/>
        <v>#VALUE!</v>
      </c>
      <c r="AS59" s="41" t="e">
        <f t="shared" si="34"/>
        <v>#VALUE!</v>
      </c>
      <c r="AT59" s="41" t="e">
        <f t="shared" si="34"/>
        <v>#VALUE!</v>
      </c>
      <c r="AU59" s="41" t="e">
        <f t="shared" si="34"/>
        <v>#VALUE!</v>
      </c>
      <c r="AV59" s="41" t="e">
        <f t="shared" si="34"/>
        <v>#VALUE!</v>
      </c>
      <c r="AW59" s="41" t="e">
        <f t="shared" si="34"/>
        <v>#VALUE!</v>
      </c>
      <c r="AX59" s="41" t="e">
        <f t="shared" si="34"/>
        <v>#VALUE!</v>
      </c>
      <c r="AY59" s="41" t="e">
        <f t="shared" si="34"/>
        <v>#VALUE!</v>
      </c>
      <c r="AZ59" s="41" t="e">
        <f t="shared" si="34"/>
        <v>#VALUE!</v>
      </c>
      <c r="BA59" s="41" t="e">
        <f t="shared" si="34"/>
        <v>#VALUE!</v>
      </c>
      <c r="BB59" s="41" t="e">
        <f t="shared" si="34"/>
        <v>#VALUE!</v>
      </c>
      <c r="BC59" s="41" t="e">
        <f t="shared" si="34"/>
        <v>#VALUE!</v>
      </c>
      <c r="BD59" s="41" t="e">
        <f t="shared" si="34"/>
        <v>#VALUE!</v>
      </c>
      <c r="BE59" s="41" t="e">
        <f t="shared" si="34"/>
        <v>#VALUE!</v>
      </c>
      <c r="BF59" s="41" t="e">
        <f t="shared" si="34"/>
        <v>#VALUE!</v>
      </c>
      <c r="BG59" s="41" t="e">
        <f t="shared" si="34"/>
        <v>#VALUE!</v>
      </c>
      <c r="BH59" s="41" t="e">
        <f t="shared" si="34"/>
        <v>#VALUE!</v>
      </c>
      <c r="BI59" s="41" t="e">
        <f t="shared" si="34"/>
        <v>#VALUE!</v>
      </c>
      <c r="BJ59" s="41" t="e">
        <f t="shared" si="34"/>
        <v>#VALUE!</v>
      </c>
      <c r="BK59" s="41" t="e">
        <f t="shared" si="34"/>
        <v>#VALUE!</v>
      </c>
      <c r="BL59" s="41" t="e">
        <f t="shared" si="34"/>
        <v>#VALUE!</v>
      </c>
      <c r="BM59" s="41" t="e">
        <f t="shared" si="34"/>
        <v>#VALUE!</v>
      </c>
      <c r="BN59" s="41" t="e">
        <f t="shared" si="34"/>
        <v>#VALUE!</v>
      </c>
      <c r="BO59" s="41" t="e">
        <f t="shared" si="34"/>
        <v>#VALUE!</v>
      </c>
      <c r="BP59" s="41" t="e">
        <f t="shared" si="34"/>
        <v>#VALUE!</v>
      </c>
      <c r="BQ59" s="41" t="e">
        <f t="shared" si="34"/>
        <v>#VALUE!</v>
      </c>
      <c r="BR59" s="41" t="e">
        <f t="shared" ref="BR59:DA59" si="35">IF(ISNUMBER(FIND("R",$B$16)),(BR33-BR9)^2,(BR32-BR9)^2)</f>
        <v>#VALUE!</v>
      </c>
      <c r="BS59" s="41" t="e">
        <f t="shared" si="35"/>
        <v>#VALUE!</v>
      </c>
      <c r="BT59" s="41" t="e">
        <f t="shared" si="35"/>
        <v>#VALUE!</v>
      </c>
      <c r="BU59" s="41" t="e">
        <f t="shared" si="35"/>
        <v>#VALUE!</v>
      </c>
      <c r="BV59" s="41" t="e">
        <f t="shared" si="35"/>
        <v>#VALUE!</v>
      </c>
      <c r="BW59" s="41" t="e">
        <f t="shared" si="35"/>
        <v>#VALUE!</v>
      </c>
      <c r="BX59" s="41" t="e">
        <f t="shared" si="35"/>
        <v>#VALUE!</v>
      </c>
      <c r="BY59" s="41" t="e">
        <f t="shared" si="35"/>
        <v>#VALUE!</v>
      </c>
      <c r="BZ59" s="41" t="e">
        <f t="shared" si="35"/>
        <v>#VALUE!</v>
      </c>
      <c r="CA59" s="41" t="e">
        <f t="shared" si="35"/>
        <v>#VALUE!</v>
      </c>
      <c r="CB59" s="41" t="e">
        <f t="shared" si="35"/>
        <v>#VALUE!</v>
      </c>
      <c r="CC59" s="41" t="e">
        <f t="shared" si="35"/>
        <v>#VALUE!</v>
      </c>
      <c r="CD59" s="41" t="e">
        <f t="shared" si="35"/>
        <v>#VALUE!</v>
      </c>
      <c r="CE59" s="41" t="e">
        <f t="shared" si="35"/>
        <v>#VALUE!</v>
      </c>
      <c r="CF59" s="41" t="e">
        <f t="shared" si="35"/>
        <v>#VALUE!</v>
      </c>
      <c r="CG59" s="41" t="e">
        <f t="shared" si="35"/>
        <v>#VALUE!</v>
      </c>
      <c r="CH59" s="41" t="e">
        <f t="shared" si="35"/>
        <v>#VALUE!</v>
      </c>
      <c r="CI59" s="41" t="e">
        <f t="shared" si="35"/>
        <v>#VALUE!</v>
      </c>
      <c r="CJ59" s="41" t="e">
        <f t="shared" si="35"/>
        <v>#VALUE!</v>
      </c>
      <c r="CK59" s="41" t="e">
        <f t="shared" si="35"/>
        <v>#VALUE!</v>
      </c>
      <c r="CL59" s="41" t="e">
        <f t="shared" si="35"/>
        <v>#VALUE!</v>
      </c>
      <c r="CM59" s="41" t="e">
        <f t="shared" si="35"/>
        <v>#VALUE!</v>
      </c>
      <c r="CN59" s="41" t="e">
        <f t="shared" si="35"/>
        <v>#VALUE!</v>
      </c>
      <c r="CO59" s="41" t="e">
        <f t="shared" si="35"/>
        <v>#VALUE!</v>
      </c>
      <c r="CP59" s="41" t="e">
        <f t="shared" si="35"/>
        <v>#VALUE!</v>
      </c>
      <c r="CQ59" s="41" t="e">
        <f t="shared" si="35"/>
        <v>#VALUE!</v>
      </c>
      <c r="CR59" s="41" t="e">
        <f t="shared" si="35"/>
        <v>#VALUE!</v>
      </c>
      <c r="CS59" s="41" t="e">
        <f t="shared" si="35"/>
        <v>#VALUE!</v>
      </c>
      <c r="CT59" s="41" t="e">
        <f t="shared" si="35"/>
        <v>#VALUE!</v>
      </c>
      <c r="CU59" s="41" t="e">
        <f t="shared" si="35"/>
        <v>#VALUE!</v>
      </c>
      <c r="CV59" s="41" t="e">
        <f t="shared" si="35"/>
        <v>#VALUE!</v>
      </c>
      <c r="CW59" s="41" t="e">
        <f t="shared" si="35"/>
        <v>#VALUE!</v>
      </c>
      <c r="CX59" s="41" t="e">
        <f t="shared" si="35"/>
        <v>#VALUE!</v>
      </c>
      <c r="CY59" s="41" t="e">
        <f t="shared" si="35"/>
        <v>#VALUE!</v>
      </c>
      <c r="CZ59" s="41" t="e">
        <f t="shared" si="35"/>
        <v>#VALUE!</v>
      </c>
      <c r="DA59" s="41" t="e">
        <f t="shared" si="35"/>
        <v>#VALUE!</v>
      </c>
    </row>
    <row r="60" spans="2:105" x14ac:dyDescent="0.25">
      <c r="B60" t="s">
        <v>12</v>
      </c>
      <c r="E60" s="41" t="e">
        <f>IF(ISNUMBER(FIND("R",$B$16)),(E34-E10)^2,(E35-E10)^2)</f>
        <v>#VALUE!</v>
      </c>
      <c r="F60" s="41" t="e">
        <f t="shared" ref="F60:BQ60" si="36">IF(ISNUMBER(FIND("R",$B$16)),(F34-F10)^2,(F35-F10)^2)</f>
        <v>#VALUE!</v>
      </c>
      <c r="G60" s="41" t="e">
        <f t="shared" si="36"/>
        <v>#VALUE!</v>
      </c>
      <c r="H60" s="41" t="e">
        <f t="shared" si="36"/>
        <v>#VALUE!</v>
      </c>
      <c r="I60" s="41" t="e">
        <f t="shared" si="36"/>
        <v>#VALUE!</v>
      </c>
      <c r="J60" s="41" t="e">
        <f t="shared" si="36"/>
        <v>#VALUE!</v>
      </c>
      <c r="K60" s="41" t="e">
        <f t="shared" si="36"/>
        <v>#VALUE!</v>
      </c>
      <c r="L60" s="41" t="e">
        <f t="shared" si="36"/>
        <v>#VALUE!</v>
      </c>
      <c r="M60" s="41" t="e">
        <f t="shared" si="36"/>
        <v>#VALUE!</v>
      </c>
      <c r="N60" s="41" t="e">
        <f t="shared" si="36"/>
        <v>#VALUE!</v>
      </c>
      <c r="O60" s="41" t="e">
        <f t="shared" si="36"/>
        <v>#VALUE!</v>
      </c>
      <c r="P60" s="41" t="e">
        <f t="shared" si="36"/>
        <v>#VALUE!</v>
      </c>
      <c r="Q60" s="41" t="e">
        <f t="shared" si="36"/>
        <v>#VALUE!</v>
      </c>
      <c r="R60" s="41" t="e">
        <f t="shared" si="36"/>
        <v>#VALUE!</v>
      </c>
      <c r="S60" s="41" t="e">
        <f t="shared" si="36"/>
        <v>#VALUE!</v>
      </c>
      <c r="T60" s="41" t="e">
        <f t="shared" si="36"/>
        <v>#VALUE!</v>
      </c>
      <c r="U60" s="41" t="e">
        <f t="shared" si="36"/>
        <v>#VALUE!</v>
      </c>
      <c r="V60" s="41" t="e">
        <f t="shared" si="36"/>
        <v>#VALUE!</v>
      </c>
      <c r="W60" s="41" t="e">
        <f t="shared" si="36"/>
        <v>#VALUE!</v>
      </c>
      <c r="X60" s="41" t="e">
        <f t="shared" si="36"/>
        <v>#VALUE!</v>
      </c>
      <c r="Y60" s="41" t="e">
        <f t="shared" si="36"/>
        <v>#VALUE!</v>
      </c>
      <c r="Z60" s="41" t="e">
        <f t="shared" si="36"/>
        <v>#VALUE!</v>
      </c>
      <c r="AA60" s="41" t="e">
        <f t="shared" si="36"/>
        <v>#VALUE!</v>
      </c>
      <c r="AB60" s="41" t="e">
        <f t="shared" si="36"/>
        <v>#VALUE!</v>
      </c>
      <c r="AC60" s="41" t="e">
        <f t="shared" si="36"/>
        <v>#VALUE!</v>
      </c>
      <c r="AD60" s="41" t="e">
        <f t="shared" si="36"/>
        <v>#VALUE!</v>
      </c>
      <c r="AE60" s="41" t="e">
        <f t="shared" si="36"/>
        <v>#VALUE!</v>
      </c>
      <c r="AF60" s="41" t="e">
        <f t="shared" si="36"/>
        <v>#VALUE!</v>
      </c>
      <c r="AG60" s="41" t="e">
        <f t="shared" si="36"/>
        <v>#VALUE!</v>
      </c>
      <c r="AH60" s="41" t="e">
        <f t="shared" si="36"/>
        <v>#VALUE!</v>
      </c>
      <c r="AI60" s="41" t="e">
        <f t="shared" si="36"/>
        <v>#VALUE!</v>
      </c>
      <c r="AJ60" s="41" t="e">
        <f t="shared" si="36"/>
        <v>#VALUE!</v>
      </c>
      <c r="AK60" s="41" t="e">
        <f t="shared" si="36"/>
        <v>#VALUE!</v>
      </c>
      <c r="AL60" s="41" t="e">
        <f t="shared" si="36"/>
        <v>#VALUE!</v>
      </c>
      <c r="AM60" s="41" t="e">
        <f t="shared" si="36"/>
        <v>#VALUE!</v>
      </c>
      <c r="AN60" s="41" t="e">
        <f t="shared" si="36"/>
        <v>#VALUE!</v>
      </c>
      <c r="AO60" s="41" t="e">
        <f t="shared" si="36"/>
        <v>#VALUE!</v>
      </c>
      <c r="AP60" s="41" t="e">
        <f t="shared" si="36"/>
        <v>#VALUE!</v>
      </c>
      <c r="AQ60" s="41" t="e">
        <f t="shared" si="36"/>
        <v>#VALUE!</v>
      </c>
      <c r="AR60" s="41" t="e">
        <f t="shared" si="36"/>
        <v>#VALUE!</v>
      </c>
      <c r="AS60" s="41" t="e">
        <f t="shared" si="36"/>
        <v>#VALUE!</v>
      </c>
      <c r="AT60" s="41" t="e">
        <f t="shared" si="36"/>
        <v>#VALUE!</v>
      </c>
      <c r="AU60" s="41" t="e">
        <f t="shared" si="36"/>
        <v>#VALUE!</v>
      </c>
      <c r="AV60" s="41" t="e">
        <f t="shared" si="36"/>
        <v>#VALUE!</v>
      </c>
      <c r="AW60" s="41" t="e">
        <f t="shared" si="36"/>
        <v>#VALUE!</v>
      </c>
      <c r="AX60" s="41" t="e">
        <f t="shared" si="36"/>
        <v>#VALUE!</v>
      </c>
      <c r="AY60" s="41" t="e">
        <f t="shared" si="36"/>
        <v>#VALUE!</v>
      </c>
      <c r="AZ60" s="41" t="e">
        <f t="shared" si="36"/>
        <v>#VALUE!</v>
      </c>
      <c r="BA60" s="41" t="e">
        <f t="shared" si="36"/>
        <v>#VALUE!</v>
      </c>
      <c r="BB60" s="41" t="e">
        <f t="shared" si="36"/>
        <v>#VALUE!</v>
      </c>
      <c r="BC60" s="41" t="e">
        <f t="shared" si="36"/>
        <v>#VALUE!</v>
      </c>
      <c r="BD60" s="41" t="e">
        <f t="shared" si="36"/>
        <v>#VALUE!</v>
      </c>
      <c r="BE60" s="41" t="e">
        <f t="shared" si="36"/>
        <v>#VALUE!</v>
      </c>
      <c r="BF60" s="41" t="e">
        <f t="shared" si="36"/>
        <v>#VALUE!</v>
      </c>
      <c r="BG60" s="41" t="e">
        <f t="shared" si="36"/>
        <v>#VALUE!</v>
      </c>
      <c r="BH60" s="41" t="e">
        <f t="shared" si="36"/>
        <v>#VALUE!</v>
      </c>
      <c r="BI60" s="41" t="e">
        <f t="shared" si="36"/>
        <v>#VALUE!</v>
      </c>
      <c r="BJ60" s="41" t="e">
        <f t="shared" si="36"/>
        <v>#VALUE!</v>
      </c>
      <c r="BK60" s="41" t="e">
        <f t="shared" si="36"/>
        <v>#VALUE!</v>
      </c>
      <c r="BL60" s="41" t="e">
        <f t="shared" si="36"/>
        <v>#VALUE!</v>
      </c>
      <c r="BM60" s="41" t="e">
        <f t="shared" si="36"/>
        <v>#VALUE!</v>
      </c>
      <c r="BN60" s="41" t="e">
        <f t="shared" si="36"/>
        <v>#VALUE!</v>
      </c>
      <c r="BO60" s="41" t="e">
        <f t="shared" si="36"/>
        <v>#VALUE!</v>
      </c>
      <c r="BP60" s="41" t="e">
        <f t="shared" si="36"/>
        <v>#VALUE!</v>
      </c>
      <c r="BQ60" s="41" t="e">
        <f t="shared" si="36"/>
        <v>#VALUE!</v>
      </c>
      <c r="BR60" s="41" t="e">
        <f t="shared" ref="BR60:DA60" si="37">IF(ISNUMBER(FIND("R",$B$16)),(BR34-BR10)^2,(BR35-BR10)^2)</f>
        <v>#VALUE!</v>
      </c>
      <c r="BS60" s="41" t="e">
        <f t="shared" si="37"/>
        <v>#VALUE!</v>
      </c>
      <c r="BT60" s="41" t="e">
        <f t="shared" si="37"/>
        <v>#VALUE!</v>
      </c>
      <c r="BU60" s="41" t="e">
        <f t="shared" si="37"/>
        <v>#VALUE!</v>
      </c>
      <c r="BV60" s="41" t="e">
        <f t="shared" si="37"/>
        <v>#VALUE!</v>
      </c>
      <c r="BW60" s="41" t="e">
        <f t="shared" si="37"/>
        <v>#VALUE!</v>
      </c>
      <c r="BX60" s="41" t="e">
        <f t="shared" si="37"/>
        <v>#VALUE!</v>
      </c>
      <c r="BY60" s="41" t="e">
        <f t="shared" si="37"/>
        <v>#VALUE!</v>
      </c>
      <c r="BZ60" s="41" t="e">
        <f t="shared" si="37"/>
        <v>#VALUE!</v>
      </c>
      <c r="CA60" s="41" t="e">
        <f t="shared" si="37"/>
        <v>#VALUE!</v>
      </c>
      <c r="CB60" s="41" t="e">
        <f t="shared" si="37"/>
        <v>#VALUE!</v>
      </c>
      <c r="CC60" s="41" t="e">
        <f t="shared" si="37"/>
        <v>#VALUE!</v>
      </c>
      <c r="CD60" s="41" t="e">
        <f t="shared" si="37"/>
        <v>#VALUE!</v>
      </c>
      <c r="CE60" s="41" t="e">
        <f t="shared" si="37"/>
        <v>#VALUE!</v>
      </c>
      <c r="CF60" s="41" t="e">
        <f t="shared" si="37"/>
        <v>#VALUE!</v>
      </c>
      <c r="CG60" s="41" t="e">
        <f t="shared" si="37"/>
        <v>#VALUE!</v>
      </c>
      <c r="CH60" s="41" t="e">
        <f t="shared" si="37"/>
        <v>#VALUE!</v>
      </c>
      <c r="CI60" s="41" t="e">
        <f t="shared" si="37"/>
        <v>#VALUE!</v>
      </c>
      <c r="CJ60" s="41" t="e">
        <f t="shared" si="37"/>
        <v>#VALUE!</v>
      </c>
      <c r="CK60" s="41" t="e">
        <f t="shared" si="37"/>
        <v>#VALUE!</v>
      </c>
      <c r="CL60" s="41" t="e">
        <f t="shared" si="37"/>
        <v>#VALUE!</v>
      </c>
      <c r="CM60" s="41" t="e">
        <f t="shared" si="37"/>
        <v>#VALUE!</v>
      </c>
      <c r="CN60" s="41" t="e">
        <f t="shared" si="37"/>
        <v>#VALUE!</v>
      </c>
      <c r="CO60" s="41" t="e">
        <f t="shared" si="37"/>
        <v>#VALUE!</v>
      </c>
      <c r="CP60" s="41" t="e">
        <f t="shared" si="37"/>
        <v>#VALUE!</v>
      </c>
      <c r="CQ60" s="41" t="e">
        <f t="shared" si="37"/>
        <v>#VALUE!</v>
      </c>
      <c r="CR60" s="41" t="e">
        <f t="shared" si="37"/>
        <v>#VALUE!</v>
      </c>
      <c r="CS60" s="41" t="e">
        <f t="shared" si="37"/>
        <v>#VALUE!</v>
      </c>
      <c r="CT60" s="41" t="e">
        <f t="shared" si="37"/>
        <v>#VALUE!</v>
      </c>
      <c r="CU60" s="41" t="e">
        <f t="shared" si="37"/>
        <v>#VALUE!</v>
      </c>
      <c r="CV60" s="41" t="e">
        <f t="shared" si="37"/>
        <v>#VALUE!</v>
      </c>
      <c r="CW60" s="41" t="e">
        <f t="shared" si="37"/>
        <v>#VALUE!</v>
      </c>
      <c r="CX60" s="41" t="e">
        <f t="shared" si="37"/>
        <v>#VALUE!</v>
      </c>
      <c r="CY60" s="41" t="e">
        <f t="shared" si="37"/>
        <v>#VALUE!</v>
      </c>
      <c r="CZ60" s="41" t="e">
        <f t="shared" si="37"/>
        <v>#VALUE!</v>
      </c>
      <c r="DA60" s="41" t="e">
        <f t="shared" si="37"/>
        <v>#VALUE!</v>
      </c>
    </row>
    <row r="61" spans="2:105" x14ac:dyDescent="0.25">
      <c r="B61" t="s">
        <v>11</v>
      </c>
      <c r="E61" s="41" t="e">
        <f>IF(ISNUMBER(FIND("R",$B$16)),(E35-E10)^2,(E34-E10)^2)</f>
        <v>#VALUE!</v>
      </c>
      <c r="F61" s="41" t="e">
        <f t="shared" ref="F61:BQ61" si="38">IF(ISNUMBER(FIND("R",$B$16)),(F35-F10)^2,(F34-F10)^2)</f>
        <v>#VALUE!</v>
      </c>
      <c r="G61" s="41" t="e">
        <f t="shared" si="38"/>
        <v>#VALUE!</v>
      </c>
      <c r="H61" s="41" t="e">
        <f t="shared" si="38"/>
        <v>#VALUE!</v>
      </c>
      <c r="I61" s="41" t="e">
        <f t="shared" si="38"/>
        <v>#VALUE!</v>
      </c>
      <c r="J61" s="41" t="e">
        <f t="shared" si="38"/>
        <v>#VALUE!</v>
      </c>
      <c r="K61" s="41" t="e">
        <f t="shared" si="38"/>
        <v>#VALUE!</v>
      </c>
      <c r="L61" s="41" t="e">
        <f t="shared" si="38"/>
        <v>#VALUE!</v>
      </c>
      <c r="M61" s="41" t="e">
        <f t="shared" si="38"/>
        <v>#VALUE!</v>
      </c>
      <c r="N61" s="41" t="e">
        <f t="shared" si="38"/>
        <v>#VALUE!</v>
      </c>
      <c r="O61" s="41" t="e">
        <f t="shared" si="38"/>
        <v>#VALUE!</v>
      </c>
      <c r="P61" s="41" t="e">
        <f t="shared" si="38"/>
        <v>#VALUE!</v>
      </c>
      <c r="Q61" s="41" t="e">
        <f t="shared" si="38"/>
        <v>#VALUE!</v>
      </c>
      <c r="R61" s="41" t="e">
        <f t="shared" si="38"/>
        <v>#VALUE!</v>
      </c>
      <c r="S61" s="41" t="e">
        <f t="shared" si="38"/>
        <v>#VALUE!</v>
      </c>
      <c r="T61" s="41" t="e">
        <f t="shared" si="38"/>
        <v>#VALUE!</v>
      </c>
      <c r="U61" s="41" t="e">
        <f t="shared" si="38"/>
        <v>#VALUE!</v>
      </c>
      <c r="V61" s="41" t="e">
        <f t="shared" si="38"/>
        <v>#VALUE!</v>
      </c>
      <c r="W61" s="41" t="e">
        <f t="shared" si="38"/>
        <v>#VALUE!</v>
      </c>
      <c r="X61" s="41" t="e">
        <f t="shared" si="38"/>
        <v>#VALUE!</v>
      </c>
      <c r="Y61" s="41" t="e">
        <f t="shared" si="38"/>
        <v>#VALUE!</v>
      </c>
      <c r="Z61" s="41" t="e">
        <f t="shared" si="38"/>
        <v>#VALUE!</v>
      </c>
      <c r="AA61" s="41" t="e">
        <f t="shared" si="38"/>
        <v>#VALUE!</v>
      </c>
      <c r="AB61" s="41" t="e">
        <f t="shared" si="38"/>
        <v>#VALUE!</v>
      </c>
      <c r="AC61" s="41" t="e">
        <f t="shared" si="38"/>
        <v>#VALUE!</v>
      </c>
      <c r="AD61" s="41" t="e">
        <f t="shared" si="38"/>
        <v>#VALUE!</v>
      </c>
      <c r="AE61" s="41" t="e">
        <f t="shared" si="38"/>
        <v>#VALUE!</v>
      </c>
      <c r="AF61" s="41" t="e">
        <f t="shared" si="38"/>
        <v>#VALUE!</v>
      </c>
      <c r="AG61" s="41" t="e">
        <f t="shared" si="38"/>
        <v>#VALUE!</v>
      </c>
      <c r="AH61" s="41" t="e">
        <f t="shared" si="38"/>
        <v>#VALUE!</v>
      </c>
      <c r="AI61" s="41" t="e">
        <f t="shared" si="38"/>
        <v>#VALUE!</v>
      </c>
      <c r="AJ61" s="41" t="e">
        <f t="shared" si="38"/>
        <v>#VALUE!</v>
      </c>
      <c r="AK61" s="41" t="e">
        <f t="shared" si="38"/>
        <v>#VALUE!</v>
      </c>
      <c r="AL61" s="41" t="e">
        <f t="shared" si="38"/>
        <v>#VALUE!</v>
      </c>
      <c r="AM61" s="41" t="e">
        <f t="shared" si="38"/>
        <v>#VALUE!</v>
      </c>
      <c r="AN61" s="41" t="e">
        <f t="shared" si="38"/>
        <v>#VALUE!</v>
      </c>
      <c r="AO61" s="41" t="e">
        <f t="shared" si="38"/>
        <v>#VALUE!</v>
      </c>
      <c r="AP61" s="41" t="e">
        <f t="shared" si="38"/>
        <v>#VALUE!</v>
      </c>
      <c r="AQ61" s="41" t="e">
        <f t="shared" si="38"/>
        <v>#VALUE!</v>
      </c>
      <c r="AR61" s="41" t="e">
        <f t="shared" si="38"/>
        <v>#VALUE!</v>
      </c>
      <c r="AS61" s="41" t="e">
        <f t="shared" si="38"/>
        <v>#VALUE!</v>
      </c>
      <c r="AT61" s="41" t="e">
        <f t="shared" si="38"/>
        <v>#VALUE!</v>
      </c>
      <c r="AU61" s="41" t="e">
        <f t="shared" si="38"/>
        <v>#VALUE!</v>
      </c>
      <c r="AV61" s="41" t="e">
        <f t="shared" si="38"/>
        <v>#VALUE!</v>
      </c>
      <c r="AW61" s="41" t="e">
        <f t="shared" si="38"/>
        <v>#VALUE!</v>
      </c>
      <c r="AX61" s="41" t="e">
        <f t="shared" si="38"/>
        <v>#VALUE!</v>
      </c>
      <c r="AY61" s="41" t="e">
        <f t="shared" si="38"/>
        <v>#VALUE!</v>
      </c>
      <c r="AZ61" s="41" t="e">
        <f t="shared" si="38"/>
        <v>#VALUE!</v>
      </c>
      <c r="BA61" s="41" t="e">
        <f t="shared" si="38"/>
        <v>#VALUE!</v>
      </c>
      <c r="BB61" s="41" t="e">
        <f t="shared" si="38"/>
        <v>#VALUE!</v>
      </c>
      <c r="BC61" s="41" t="e">
        <f t="shared" si="38"/>
        <v>#VALUE!</v>
      </c>
      <c r="BD61" s="41" t="e">
        <f t="shared" si="38"/>
        <v>#VALUE!</v>
      </c>
      <c r="BE61" s="41" t="e">
        <f t="shared" si="38"/>
        <v>#VALUE!</v>
      </c>
      <c r="BF61" s="41" t="e">
        <f t="shared" si="38"/>
        <v>#VALUE!</v>
      </c>
      <c r="BG61" s="41" t="e">
        <f t="shared" si="38"/>
        <v>#VALUE!</v>
      </c>
      <c r="BH61" s="41" t="e">
        <f t="shared" si="38"/>
        <v>#VALUE!</v>
      </c>
      <c r="BI61" s="41" t="e">
        <f t="shared" si="38"/>
        <v>#VALUE!</v>
      </c>
      <c r="BJ61" s="41" t="e">
        <f t="shared" si="38"/>
        <v>#VALUE!</v>
      </c>
      <c r="BK61" s="41" t="e">
        <f t="shared" si="38"/>
        <v>#VALUE!</v>
      </c>
      <c r="BL61" s="41" t="e">
        <f t="shared" si="38"/>
        <v>#VALUE!</v>
      </c>
      <c r="BM61" s="41" t="e">
        <f t="shared" si="38"/>
        <v>#VALUE!</v>
      </c>
      <c r="BN61" s="41" t="e">
        <f t="shared" si="38"/>
        <v>#VALUE!</v>
      </c>
      <c r="BO61" s="41" t="e">
        <f t="shared" si="38"/>
        <v>#VALUE!</v>
      </c>
      <c r="BP61" s="41" t="e">
        <f t="shared" si="38"/>
        <v>#VALUE!</v>
      </c>
      <c r="BQ61" s="41" t="e">
        <f t="shared" si="38"/>
        <v>#VALUE!</v>
      </c>
      <c r="BR61" s="41" t="e">
        <f t="shared" ref="BR61:DA61" si="39">IF(ISNUMBER(FIND("R",$B$16)),(BR35-BR10)^2,(BR34-BR10)^2)</f>
        <v>#VALUE!</v>
      </c>
      <c r="BS61" s="41" t="e">
        <f t="shared" si="39"/>
        <v>#VALUE!</v>
      </c>
      <c r="BT61" s="41" t="e">
        <f t="shared" si="39"/>
        <v>#VALUE!</v>
      </c>
      <c r="BU61" s="41" t="e">
        <f t="shared" si="39"/>
        <v>#VALUE!</v>
      </c>
      <c r="BV61" s="41" t="e">
        <f t="shared" si="39"/>
        <v>#VALUE!</v>
      </c>
      <c r="BW61" s="41" t="e">
        <f t="shared" si="39"/>
        <v>#VALUE!</v>
      </c>
      <c r="BX61" s="41" t="e">
        <f t="shared" si="39"/>
        <v>#VALUE!</v>
      </c>
      <c r="BY61" s="41" t="e">
        <f t="shared" si="39"/>
        <v>#VALUE!</v>
      </c>
      <c r="BZ61" s="41" t="e">
        <f t="shared" si="39"/>
        <v>#VALUE!</v>
      </c>
      <c r="CA61" s="41" t="e">
        <f t="shared" si="39"/>
        <v>#VALUE!</v>
      </c>
      <c r="CB61" s="41" t="e">
        <f t="shared" si="39"/>
        <v>#VALUE!</v>
      </c>
      <c r="CC61" s="41" t="e">
        <f t="shared" si="39"/>
        <v>#VALUE!</v>
      </c>
      <c r="CD61" s="41" t="e">
        <f t="shared" si="39"/>
        <v>#VALUE!</v>
      </c>
      <c r="CE61" s="41" t="e">
        <f t="shared" si="39"/>
        <v>#VALUE!</v>
      </c>
      <c r="CF61" s="41" t="e">
        <f t="shared" si="39"/>
        <v>#VALUE!</v>
      </c>
      <c r="CG61" s="41" t="e">
        <f t="shared" si="39"/>
        <v>#VALUE!</v>
      </c>
      <c r="CH61" s="41" t="e">
        <f t="shared" si="39"/>
        <v>#VALUE!</v>
      </c>
      <c r="CI61" s="41" t="e">
        <f t="shared" si="39"/>
        <v>#VALUE!</v>
      </c>
      <c r="CJ61" s="41" t="e">
        <f t="shared" si="39"/>
        <v>#VALUE!</v>
      </c>
      <c r="CK61" s="41" t="e">
        <f t="shared" si="39"/>
        <v>#VALUE!</v>
      </c>
      <c r="CL61" s="41" t="e">
        <f t="shared" si="39"/>
        <v>#VALUE!</v>
      </c>
      <c r="CM61" s="41" t="e">
        <f t="shared" si="39"/>
        <v>#VALUE!</v>
      </c>
      <c r="CN61" s="41" t="e">
        <f t="shared" si="39"/>
        <v>#VALUE!</v>
      </c>
      <c r="CO61" s="41" t="e">
        <f t="shared" si="39"/>
        <v>#VALUE!</v>
      </c>
      <c r="CP61" s="41" t="e">
        <f t="shared" si="39"/>
        <v>#VALUE!</v>
      </c>
      <c r="CQ61" s="41" t="e">
        <f t="shared" si="39"/>
        <v>#VALUE!</v>
      </c>
      <c r="CR61" s="41" t="e">
        <f t="shared" si="39"/>
        <v>#VALUE!</v>
      </c>
      <c r="CS61" s="41" t="e">
        <f t="shared" si="39"/>
        <v>#VALUE!</v>
      </c>
      <c r="CT61" s="41" t="e">
        <f t="shared" si="39"/>
        <v>#VALUE!</v>
      </c>
      <c r="CU61" s="41" t="e">
        <f t="shared" si="39"/>
        <v>#VALUE!</v>
      </c>
      <c r="CV61" s="41" t="e">
        <f t="shared" si="39"/>
        <v>#VALUE!</v>
      </c>
      <c r="CW61" s="41" t="e">
        <f t="shared" si="39"/>
        <v>#VALUE!</v>
      </c>
      <c r="CX61" s="41" t="e">
        <f t="shared" si="39"/>
        <v>#VALUE!</v>
      </c>
      <c r="CY61" s="41" t="e">
        <f t="shared" si="39"/>
        <v>#VALUE!</v>
      </c>
      <c r="CZ61" s="41" t="e">
        <f t="shared" si="39"/>
        <v>#VALUE!</v>
      </c>
      <c r="DA61" s="41" t="e">
        <f t="shared" si="39"/>
        <v>#VALUE!</v>
      </c>
    </row>
    <row r="62" spans="2:105" x14ac:dyDescent="0.25">
      <c r="B62" t="s">
        <v>14</v>
      </c>
      <c r="E62" s="41" t="e">
        <f>IF(ISNUMBER(FIND("R",$B$16)),(E36-E11)^2,(E37-E11)^2)</f>
        <v>#VALUE!</v>
      </c>
      <c r="F62" s="41" t="e">
        <f t="shared" ref="F62:BQ62" si="40">IF(ISNUMBER(FIND("R",$B$16)),(F36-F11)^2,(F37-F11)^2)</f>
        <v>#VALUE!</v>
      </c>
      <c r="G62" s="41" t="e">
        <f t="shared" si="40"/>
        <v>#VALUE!</v>
      </c>
      <c r="H62" s="41" t="e">
        <f t="shared" si="40"/>
        <v>#VALUE!</v>
      </c>
      <c r="I62" s="41" t="e">
        <f t="shared" si="40"/>
        <v>#VALUE!</v>
      </c>
      <c r="J62" s="41" t="e">
        <f t="shared" si="40"/>
        <v>#VALUE!</v>
      </c>
      <c r="K62" s="41" t="e">
        <f t="shared" si="40"/>
        <v>#VALUE!</v>
      </c>
      <c r="L62" s="41" t="e">
        <f t="shared" si="40"/>
        <v>#VALUE!</v>
      </c>
      <c r="M62" s="41" t="e">
        <f t="shared" si="40"/>
        <v>#VALUE!</v>
      </c>
      <c r="N62" s="41" t="e">
        <f t="shared" si="40"/>
        <v>#VALUE!</v>
      </c>
      <c r="O62" s="41" t="e">
        <f t="shared" si="40"/>
        <v>#VALUE!</v>
      </c>
      <c r="P62" s="41" t="e">
        <f t="shared" si="40"/>
        <v>#VALUE!</v>
      </c>
      <c r="Q62" s="41" t="e">
        <f t="shared" si="40"/>
        <v>#VALUE!</v>
      </c>
      <c r="R62" s="41" t="e">
        <f t="shared" si="40"/>
        <v>#VALUE!</v>
      </c>
      <c r="S62" s="41" t="e">
        <f t="shared" si="40"/>
        <v>#VALUE!</v>
      </c>
      <c r="T62" s="41" t="e">
        <f t="shared" si="40"/>
        <v>#VALUE!</v>
      </c>
      <c r="U62" s="41" t="e">
        <f t="shared" si="40"/>
        <v>#VALUE!</v>
      </c>
      <c r="V62" s="41" t="e">
        <f t="shared" si="40"/>
        <v>#VALUE!</v>
      </c>
      <c r="W62" s="41" t="e">
        <f t="shared" si="40"/>
        <v>#VALUE!</v>
      </c>
      <c r="X62" s="41" t="e">
        <f t="shared" si="40"/>
        <v>#VALUE!</v>
      </c>
      <c r="Y62" s="41" t="e">
        <f t="shared" si="40"/>
        <v>#VALUE!</v>
      </c>
      <c r="Z62" s="41" t="e">
        <f t="shared" si="40"/>
        <v>#VALUE!</v>
      </c>
      <c r="AA62" s="41" t="e">
        <f t="shared" si="40"/>
        <v>#VALUE!</v>
      </c>
      <c r="AB62" s="41" t="e">
        <f t="shared" si="40"/>
        <v>#VALUE!</v>
      </c>
      <c r="AC62" s="41" t="e">
        <f t="shared" si="40"/>
        <v>#VALUE!</v>
      </c>
      <c r="AD62" s="41" t="e">
        <f t="shared" si="40"/>
        <v>#VALUE!</v>
      </c>
      <c r="AE62" s="41" t="e">
        <f t="shared" si="40"/>
        <v>#VALUE!</v>
      </c>
      <c r="AF62" s="41" t="e">
        <f t="shared" si="40"/>
        <v>#VALUE!</v>
      </c>
      <c r="AG62" s="41" t="e">
        <f t="shared" si="40"/>
        <v>#VALUE!</v>
      </c>
      <c r="AH62" s="41" t="e">
        <f t="shared" si="40"/>
        <v>#VALUE!</v>
      </c>
      <c r="AI62" s="41" t="e">
        <f t="shared" si="40"/>
        <v>#VALUE!</v>
      </c>
      <c r="AJ62" s="41" t="e">
        <f t="shared" si="40"/>
        <v>#VALUE!</v>
      </c>
      <c r="AK62" s="41" t="e">
        <f t="shared" si="40"/>
        <v>#VALUE!</v>
      </c>
      <c r="AL62" s="41" t="e">
        <f t="shared" si="40"/>
        <v>#VALUE!</v>
      </c>
      <c r="AM62" s="41" t="e">
        <f t="shared" si="40"/>
        <v>#VALUE!</v>
      </c>
      <c r="AN62" s="41" t="e">
        <f t="shared" si="40"/>
        <v>#VALUE!</v>
      </c>
      <c r="AO62" s="41" t="e">
        <f t="shared" si="40"/>
        <v>#VALUE!</v>
      </c>
      <c r="AP62" s="41" t="e">
        <f t="shared" si="40"/>
        <v>#VALUE!</v>
      </c>
      <c r="AQ62" s="41" t="e">
        <f t="shared" si="40"/>
        <v>#VALUE!</v>
      </c>
      <c r="AR62" s="41" t="e">
        <f t="shared" si="40"/>
        <v>#VALUE!</v>
      </c>
      <c r="AS62" s="41" t="e">
        <f t="shared" si="40"/>
        <v>#VALUE!</v>
      </c>
      <c r="AT62" s="41" t="e">
        <f t="shared" si="40"/>
        <v>#VALUE!</v>
      </c>
      <c r="AU62" s="41" t="e">
        <f t="shared" si="40"/>
        <v>#VALUE!</v>
      </c>
      <c r="AV62" s="41" t="e">
        <f t="shared" si="40"/>
        <v>#VALUE!</v>
      </c>
      <c r="AW62" s="41" t="e">
        <f t="shared" si="40"/>
        <v>#VALUE!</v>
      </c>
      <c r="AX62" s="41" t="e">
        <f t="shared" si="40"/>
        <v>#VALUE!</v>
      </c>
      <c r="AY62" s="41" t="e">
        <f t="shared" si="40"/>
        <v>#VALUE!</v>
      </c>
      <c r="AZ62" s="41" t="e">
        <f t="shared" si="40"/>
        <v>#VALUE!</v>
      </c>
      <c r="BA62" s="41" t="e">
        <f t="shared" si="40"/>
        <v>#VALUE!</v>
      </c>
      <c r="BB62" s="41" t="e">
        <f t="shared" si="40"/>
        <v>#VALUE!</v>
      </c>
      <c r="BC62" s="41" t="e">
        <f t="shared" si="40"/>
        <v>#VALUE!</v>
      </c>
      <c r="BD62" s="41" t="e">
        <f t="shared" si="40"/>
        <v>#VALUE!</v>
      </c>
      <c r="BE62" s="41" t="e">
        <f t="shared" si="40"/>
        <v>#VALUE!</v>
      </c>
      <c r="BF62" s="41" t="e">
        <f t="shared" si="40"/>
        <v>#VALUE!</v>
      </c>
      <c r="BG62" s="41" t="e">
        <f t="shared" si="40"/>
        <v>#VALUE!</v>
      </c>
      <c r="BH62" s="41" t="e">
        <f t="shared" si="40"/>
        <v>#VALUE!</v>
      </c>
      <c r="BI62" s="41" t="e">
        <f t="shared" si="40"/>
        <v>#VALUE!</v>
      </c>
      <c r="BJ62" s="41" t="e">
        <f t="shared" si="40"/>
        <v>#VALUE!</v>
      </c>
      <c r="BK62" s="41" t="e">
        <f t="shared" si="40"/>
        <v>#VALUE!</v>
      </c>
      <c r="BL62" s="41" t="e">
        <f t="shared" si="40"/>
        <v>#VALUE!</v>
      </c>
      <c r="BM62" s="41" t="e">
        <f t="shared" si="40"/>
        <v>#VALUE!</v>
      </c>
      <c r="BN62" s="41" t="e">
        <f t="shared" si="40"/>
        <v>#VALUE!</v>
      </c>
      <c r="BO62" s="41" t="e">
        <f t="shared" si="40"/>
        <v>#VALUE!</v>
      </c>
      <c r="BP62" s="41" t="e">
        <f t="shared" si="40"/>
        <v>#VALUE!</v>
      </c>
      <c r="BQ62" s="41" t="e">
        <f t="shared" si="40"/>
        <v>#VALUE!</v>
      </c>
      <c r="BR62" s="41" t="e">
        <f t="shared" ref="BR62:DA62" si="41">IF(ISNUMBER(FIND("R",$B$16)),(BR36-BR11)^2,(BR37-BR11)^2)</f>
        <v>#VALUE!</v>
      </c>
      <c r="BS62" s="41" t="e">
        <f t="shared" si="41"/>
        <v>#VALUE!</v>
      </c>
      <c r="BT62" s="41" t="e">
        <f t="shared" si="41"/>
        <v>#VALUE!</v>
      </c>
      <c r="BU62" s="41" t="e">
        <f t="shared" si="41"/>
        <v>#VALUE!</v>
      </c>
      <c r="BV62" s="41" t="e">
        <f t="shared" si="41"/>
        <v>#VALUE!</v>
      </c>
      <c r="BW62" s="41" t="e">
        <f t="shared" si="41"/>
        <v>#VALUE!</v>
      </c>
      <c r="BX62" s="41" t="e">
        <f t="shared" si="41"/>
        <v>#VALUE!</v>
      </c>
      <c r="BY62" s="41" t="e">
        <f t="shared" si="41"/>
        <v>#VALUE!</v>
      </c>
      <c r="BZ62" s="41" t="e">
        <f t="shared" si="41"/>
        <v>#VALUE!</v>
      </c>
      <c r="CA62" s="41" t="e">
        <f t="shared" si="41"/>
        <v>#VALUE!</v>
      </c>
      <c r="CB62" s="41" t="e">
        <f t="shared" si="41"/>
        <v>#VALUE!</v>
      </c>
      <c r="CC62" s="41" t="e">
        <f t="shared" si="41"/>
        <v>#VALUE!</v>
      </c>
      <c r="CD62" s="41" t="e">
        <f t="shared" si="41"/>
        <v>#VALUE!</v>
      </c>
      <c r="CE62" s="41" t="e">
        <f t="shared" si="41"/>
        <v>#VALUE!</v>
      </c>
      <c r="CF62" s="41" t="e">
        <f t="shared" si="41"/>
        <v>#VALUE!</v>
      </c>
      <c r="CG62" s="41" t="e">
        <f t="shared" si="41"/>
        <v>#VALUE!</v>
      </c>
      <c r="CH62" s="41" t="e">
        <f t="shared" si="41"/>
        <v>#VALUE!</v>
      </c>
      <c r="CI62" s="41" t="e">
        <f t="shared" si="41"/>
        <v>#VALUE!</v>
      </c>
      <c r="CJ62" s="41" t="e">
        <f t="shared" si="41"/>
        <v>#VALUE!</v>
      </c>
      <c r="CK62" s="41" t="e">
        <f t="shared" si="41"/>
        <v>#VALUE!</v>
      </c>
      <c r="CL62" s="41" t="e">
        <f t="shared" si="41"/>
        <v>#VALUE!</v>
      </c>
      <c r="CM62" s="41" t="e">
        <f t="shared" si="41"/>
        <v>#VALUE!</v>
      </c>
      <c r="CN62" s="41" t="e">
        <f t="shared" si="41"/>
        <v>#VALUE!</v>
      </c>
      <c r="CO62" s="41" t="e">
        <f t="shared" si="41"/>
        <v>#VALUE!</v>
      </c>
      <c r="CP62" s="41" t="e">
        <f t="shared" si="41"/>
        <v>#VALUE!</v>
      </c>
      <c r="CQ62" s="41" t="e">
        <f t="shared" si="41"/>
        <v>#VALUE!</v>
      </c>
      <c r="CR62" s="41" t="e">
        <f t="shared" si="41"/>
        <v>#VALUE!</v>
      </c>
      <c r="CS62" s="41" t="e">
        <f t="shared" si="41"/>
        <v>#VALUE!</v>
      </c>
      <c r="CT62" s="41" t="e">
        <f t="shared" si="41"/>
        <v>#VALUE!</v>
      </c>
      <c r="CU62" s="41" t="e">
        <f t="shared" si="41"/>
        <v>#VALUE!</v>
      </c>
      <c r="CV62" s="41" t="e">
        <f t="shared" si="41"/>
        <v>#VALUE!</v>
      </c>
      <c r="CW62" s="41" t="e">
        <f t="shared" si="41"/>
        <v>#VALUE!</v>
      </c>
      <c r="CX62" s="41" t="e">
        <f t="shared" si="41"/>
        <v>#VALUE!</v>
      </c>
      <c r="CY62" s="41" t="e">
        <f t="shared" si="41"/>
        <v>#VALUE!</v>
      </c>
      <c r="CZ62" s="41" t="e">
        <f t="shared" si="41"/>
        <v>#VALUE!</v>
      </c>
      <c r="DA62" s="41" t="e">
        <f t="shared" si="41"/>
        <v>#VALUE!</v>
      </c>
    </row>
    <row r="63" spans="2:105" x14ac:dyDescent="0.25">
      <c r="B63" t="s">
        <v>13</v>
      </c>
      <c r="E63" s="41" t="e">
        <f>IF(ISNUMBER(FIND("R",$B$16)),(E37-E11)^2,(E36-E11)^2)</f>
        <v>#VALUE!</v>
      </c>
      <c r="F63" s="41" t="e">
        <f t="shared" ref="F63:BQ63" si="42">IF(ISNUMBER(FIND("R",$B$16)),(F37-F11)^2,(F36-F11)^2)</f>
        <v>#VALUE!</v>
      </c>
      <c r="G63" s="41" t="e">
        <f t="shared" si="42"/>
        <v>#VALUE!</v>
      </c>
      <c r="H63" s="41" t="e">
        <f t="shared" si="42"/>
        <v>#VALUE!</v>
      </c>
      <c r="I63" s="41" t="e">
        <f t="shared" si="42"/>
        <v>#VALUE!</v>
      </c>
      <c r="J63" s="41" t="e">
        <f t="shared" si="42"/>
        <v>#VALUE!</v>
      </c>
      <c r="K63" s="41" t="e">
        <f t="shared" si="42"/>
        <v>#VALUE!</v>
      </c>
      <c r="L63" s="41" t="e">
        <f t="shared" si="42"/>
        <v>#VALUE!</v>
      </c>
      <c r="M63" s="41" t="e">
        <f t="shared" si="42"/>
        <v>#VALUE!</v>
      </c>
      <c r="N63" s="41" t="e">
        <f t="shared" si="42"/>
        <v>#VALUE!</v>
      </c>
      <c r="O63" s="41" t="e">
        <f t="shared" si="42"/>
        <v>#VALUE!</v>
      </c>
      <c r="P63" s="41" t="e">
        <f t="shared" si="42"/>
        <v>#VALUE!</v>
      </c>
      <c r="Q63" s="41" t="e">
        <f t="shared" si="42"/>
        <v>#VALUE!</v>
      </c>
      <c r="R63" s="41" t="e">
        <f t="shared" si="42"/>
        <v>#VALUE!</v>
      </c>
      <c r="S63" s="41" t="e">
        <f t="shared" si="42"/>
        <v>#VALUE!</v>
      </c>
      <c r="T63" s="41" t="e">
        <f t="shared" si="42"/>
        <v>#VALUE!</v>
      </c>
      <c r="U63" s="41" t="e">
        <f t="shared" si="42"/>
        <v>#VALUE!</v>
      </c>
      <c r="V63" s="41" t="e">
        <f t="shared" si="42"/>
        <v>#VALUE!</v>
      </c>
      <c r="W63" s="41" t="e">
        <f t="shared" si="42"/>
        <v>#VALUE!</v>
      </c>
      <c r="X63" s="41" t="e">
        <f t="shared" si="42"/>
        <v>#VALUE!</v>
      </c>
      <c r="Y63" s="41" t="e">
        <f t="shared" si="42"/>
        <v>#VALUE!</v>
      </c>
      <c r="Z63" s="41" t="e">
        <f t="shared" si="42"/>
        <v>#VALUE!</v>
      </c>
      <c r="AA63" s="41" t="e">
        <f t="shared" si="42"/>
        <v>#VALUE!</v>
      </c>
      <c r="AB63" s="41" t="e">
        <f t="shared" si="42"/>
        <v>#VALUE!</v>
      </c>
      <c r="AC63" s="41" t="e">
        <f t="shared" si="42"/>
        <v>#VALUE!</v>
      </c>
      <c r="AD63" s="41" t="e">
        <f t="shared" si="42"/>
        <v>#VALUE!</v>
      </c>
      <c r="AE63" s="41" t="e">
        <f t="shared" si="42"/>
        <v>#VALUE!</v>
      </c>
      <c r="AF63" s="41" t="e">
        <f t="shared" si="42"/>
        <v>#VALUE!</v>
      </c>
      <c r="AG63" s="41" t="e">
        <f t="shared" si="42"/>
        <v>#VALUE!</v>
      </c>
      <c r="AH63" s="41" t="e">
        <f t="shared" si="42"/>
        <v>#VALUE!</v>
      </c>
      <c r="AI63" s="41" t="e">
        <f t="shared" si="42"/>
        <v>#VALUE!</v>
      </c>
      <c r="AJ63" s="41" t="e">
        <f t="shared" si="42"/>
        <v>#VALUE!</v>
      </c>
      <c r="AK63" s="41" t="e">
        <f t="shared" si="42"/>
        <v>#VALUE!</v>
      </c>
      <c r="AL63" s="41" t="e">
        <f t="shared" si="42"/>
        <v>#VALUE!</v>
      </c>
      <c r="AM63" s="41" t="e">
        <f t="shared" si="42"/>
        <v>#VALUE!</v>
      </c>
      <c r="AN63" s="41" t="e">
        <f t="shared" si="42"/>
        <v>#VALUE!</v>
      </c>
      <c r="AO63" s="41" t="e">
        <f t="shared" si="42"/>
        <v>#VALUE!</v>
      </c>
      <c r="AP63" s="41" t="e">
        <f t="shared" si="42"/>
        <v>#VALUE!</v>
      </c>
      <c r="AQ63" s="41" t="e">
        <f t="shared" si="42"/>
        <v>#VALUE!</v>
      </c>
      <c r="AR63" s="41" t="e">
        <f t="shared" si="42"/>
        <v>#VALUE!</v>
      </c>
      <c r="AS63" s="41" t="e">
        <f t="shared" si="42"/>
        <v>#VALUE!</v>
      </c>
      <c r="AT63" s="41" t="e">
        <f t="shared" si="42"/>
        <v>#VALUE!</v>
      </c>
      <c r="AU63" s="41" t="e">
        <f t="shared" si="42"/>
        <v>#VALUE!</v>
      </c>
      <c r="AV63" s="41" t="e">
        <f t="shared" si="42"/>
        <v>#VALUE!</v>
      </c>
      <c r="AW63" s="41" t="e">
        <f t="shared" si="42"/>
        <v>#VALUE!</v>
      </c>
      <c r="AX63" s="41" t="e">
        <f t="shared" si="42"/>
        <v>#VALUE!</v>
      </c>
      <c r="AY63" s="41" t="e">
        <f t="shared" si="42"/>
        <v>#VALUE!</v>
      </c>
      <c r="AZ63" s="41" t="e">
        <f t="shared" si="42"/>
        <v>#VALUE!</v>
      </c>
      <c r="BA63" s="41" t="e">
        <f t="shared" si="42"/>
        <v>#VALUE!</v>
      </c>
      <c r="BB63" s="41" t="e">
        <f t="shared" si="42"/>
        <v>#VALUE!</v>
      </c>
      <c r="BC63" s="41" t="e">
        <f t="shared" si="42"/>
        <v>#VALUE!</v>
      </c>
      <c r="BD63" s="41" t="e">
        <f t="shared" si="42"/>
        <v>#VALUE!</v>
      </c>
      <c r="BE63" s="41" t="e">
        <f t="shared" si="42"/>
        <v>#VALUE!</v>
      </c>
      <c r="BF63" s="41" t="e">
        <f t="shared" si="42"/>
        <v>#VALUE!</v>
      </c>
      <c r="BG63" s="41" t="e">
        <f t="shared" si="42"/>
        <v>#VALUE!</v>
      </c>
      <c r="BH63" s="41" t="e">
        <f t="shared" si="42"/>
        <v>#VALUE!</v>
      </c>
      <c r="BI63" s="41" t="e">
        <f t="shared" si="42"/>
        <v>#VALUE!</v>
      </c>
      <c r="BJ63" s="41" t="e">
        <f t="shared" si="42"/>
        <v>#VALUE!</v>
      </c>
      <c r="BK63" s="41" t="e">
        <f t="shared" si="42"/>
        <v>#VALUE!</v>
      </c>
      <c r="BL63" s="41" t="e">
        <f t="shared" si="42"/>
        <v>#VALUE!</v>
      </c>
      <c r="BM63" s="41" t="e">
        <f t="shared" si="42"/>
        <v>#VALUE!</v>
      </c>
      <c r="BN63" s="41" t="e">
        <f t="shared" si="42"/>
        <v>#VALUE!</v>
      </c>
      <c r="BO63" s="41" t="e">
        <f t="shared" si="42"/>
        <v>#VALUE!</v>
      </c>
      <c r="BP63" s="41" t="e">
        <f t="shared" si="42"/>
        <v>#VALUE!</v>
      </c>
      <c r="BQ63" s="41" t="e">
        <f t="shared" si="42"/>
        <v>#VALUE!</v>
      </c>
      <c r="BR63" s="41" t="e">
        <f t="shared" ref="BR63:DA63" si="43">IF(ISNUMBER(FIND("R",$B$16)),(BR37-BR11)^2,(BR36-BR11)^2)</f>
        <v>#VALUE!</v>
      </c>
      <c r="BS63" s="41" t="e">
        <f t="shared" si="43"/>
        <v>#VALUE!</v>
      </c>
      <c r="BT63" s="41" t="e">
        <f t="shared" si="43"/>
        <v>#VALUE!</v>
      </c>
      <c r="BU63" s="41" t="e">
        <f t="shared" si="43"/>
        <v>#VALUE!</v>
      </c>
      <c r="BV63" s="41" t="e">
        <f t="shared" si="43"/>
        <v>#VALUE!</v>
      </c>
      <c r="BW63" s="41" t="e">
        <f t="shared" si="43"/>
        <v>#VALUE!</v>
      </c>
      <c r="BX63" s="41" t="e">
        <f t="shared" si="43"/>
        <v>#VALUE!</v>
      </c>
      <c r="BY63" s="41" t="e">
        <f t="shared" si="43"/>
        <v>#VALUE!</v>
      </c>
      <c r="BZ63" s="41" t="e">
        <f t="shared" si="43"/>
        <v>#VALUE!</v>
      </c>
      <c r="CA63" s="41" t="e">
        <f t="shared" si="43"/>
        <v>#VALUE!</v>
      </c>
      <c r="CB63" s="41" t="e">
        <f t="shared" si="43"/>
        <v>#VALUE!</v>
      </c>
      <c r="CC63" s="41" t="e">
        <f t="shared" si="43"/>
        <v>#VALUE!</v>
      </c>
      <c r="CD63" s="41" t="e">
        <f t="shared" si="43"/>
        <v>#VALUE!</v>
      </c>
      <c r="CE63" s="41" t="e">
        <f t="shared" si="43"/>
        <v>#VALUE!</v>
      </c>
      <c r="CF63" s="41" t="e">
        <f t="shared" si="43"/>
        <v>#VALUE!</v>
      </c>
      <c r="CG63" s="41" t="e">
        <f t="shared" si="43"/>
        <v>#VALUE!</v>
      </c>
      <c r="CH63" s="41" t="e">
        <f t="shared" si="43"/>
        <v>#VALUE!</v>
      </c>
      <c r="CI63" s="41" t="e">
        <f t="shared" si="43"/>
        <v>#VALUE!</v>
      </c>
      <c r="CJ63" s="41" t="e">
        <f t="shared" si="43"/>
        <v>#VALUE!</v>
      </c>
      <c r="CK63" s="41" t="e">
        <f t="shared" si="43"/>
        <v>#VALUE!</v>
      </c>
      <c r="CL63" s="41" t="e">
        <f t="shared" si="43"/>
        <v>#VALUE!</v>
      </c>
      <c r="CM63" s="41" t="e">
        <f t="shared" si="43"/>
        <v>#VALUE!</v>
      </c>
      <c r="CN63" s="41" t="e">
        <f t="shared" si="43"/>
        <v>#VALUE!</v>
      </c>
      <c r="CO63" s="41" t="e">
        <f t="shared" si="43"/>
        <v>#VALUE!</v>
      </c>
      <c r="CP63" s="41" t="e">
        <f t="shared" si="43"/>
        <v>#VALUE!</v>
      </c>
      <c r="CQ63" s="41" t="e">
        <f t="shared" si="43"/>
        <v>#VALUE!</v>
      </c>
      <c r="CR63" s="41" t="e">
        <f t="shared" si="43"/>
        <v>#VALUE!</v>
      </c>
      <c r="CS63" s="41" t="e">
        <f t="shared" si="43"/>
        <v>#VALUE!</v>
      </c>
      <c r="CT63" s="41" t="e">
        <f t="shared" si="43"/>
        <v>#VALUE!</v>
      </c>
      <c r="CU63" s="41" t="e">
        <f t="shared" si="43"/>
        <v>#VALUE!</v>
      </c>
      <c r="CV63" s="41" t="e">
        <f t="shared" si="43"/>
        <v>#VALUE!</v>
      </c>
      <c r="CW63" s="41" t="e">
        <f t="shared" si="43"/>
        <v>#VALUE!</v>
      </c>
      <c r="CX63" s="41" t="e">
        <f t="shared" si="43"/>
        <v>#VALUE!</v>
      </c>
      <c r="CY63" s="41" t="e">
        <f t="shared" si="43"/>
        <v>#VALUE!</v>
      </c>
      <c r="CZ63" s="41" t="e">
        <f t="shared" si="43"/>
        <v>#VALUE!</v>
      </c>
      <c r="DA63" s="41" t="e">
        <f t="shared" si="43"/>
        <v>#VALUE!</v>
      </c>
    </row>
    <row r="64" spans="2:105" x14ac:dyDescent="0.25">
      <c r="B64" t="s">
        <v>16</v>
      </c>
      <c r="E64" s="41" t="e">
        <f>IF(ISNUMBER(FIND("R",$B$16)),(E38-E12)^2,(E39-E12)^2)</f>
        <v>#VALUE!</v>
      </c>
      <c r="F64" s="41" t="e">
        <f t="shared" ref="F64:BQ64" si="44">IF(ISNUMBER(FIND("R",$B$16)),(F38-F12)^2,(F39-F12)^2)</f>
        <v>#VALUE!</v>
      </c>
      <c r="G64" s="41" t="e">
        <f t="shared" si="44"/>
        <v>#VALUE!</v>
      </c>
      <c r="H64" s="41" t="e">
        <f t="shared" si="44"/>
        <v>#VALUE!</v>
      </c>
      <c r="I64" s="41" t="e">
        <f t="shared" si="44"/>
        <v>#VALUE!</v>
      </c>
      <c r="J64" s="41" t="e">
        <f t="shared" si="44"/>
        <v>#VALUE!</v>
      </c>
      <c r="K64" s="41" t="e">
        <f t="shared" si="44"/>
        <v>#VALUE!</v>
      </c>
      <c r="L64" s="41" t="e">
        <f t="shared" si="44"/>
        <v>#VALUE!</v>
      </c>
      <c r="M64" s="41" t="e">
        <f t="shared" si="44"/>
        <v>#VALUE!</v>
      </c>
      <c r="N64" s="41" t="e">
        <f t="shared" si="44"/>
        <v>#VALUE!</v>
      </c>
      <c r="O64" s="41" t="e">
        <f t="shared" si="44"/>
        <v>#VALUE!</v>
      </c>
      <c r="P64" s="41" t="e">
        <f t="shared" si="44"/>
        <v>#VALUE!</v>
      </c>
      <c r="Q64" s="41" t="e">
        <f t="shared" si="44"/>
        <v>#VALUE!</v>
      </c>
      <c r="R64" s="41" t="e">
        <f t="shared" si="44"/>
        <v>#VALUE!</v>
      </c>
      <c r="S64" s="41" t="e">
        <f t="shared" si="44"/>
        <v>#VALUE!</v>
      </c>
      <c r="T64" s="41" t="e">
        <f t="shared" si="44"/>
        <v>#VALUE!</v>
      </c>
      <c r="U64" s="41" t="e">
        <f t="shared" si="44"/>
        <v>#VALUE!</v>
      </c>
      <c r="V64" s="41" t="e">
        <f t="shared" si="44"/>
        <v>#VALUE!</v>
      </c>
      <c r="W64" s="41" t="e">
        <f t="shared" si="44"/>
        <v>#VALUE!</v>
      </c>
      <c r="X64" s="41" t="e">
        <f t="shared" si="44"/>
        <v>#VALUE!</v>
      </c>
      <c r="Y64" s="41" t="e">
        <f t="shared" si="44"/>
        <v>#VALUE!</v>
      </c>
      <c r="Z64" s="41" t="e">
        <f t="shared" si="44"/>
        <v>#VALUE!</v>
      </c>
      <c r="AA64" s="41" t="e">
        <f t="shared" si="44"/>
        <v>#VALUE!</v>
      </c>
      <c r="AB64" s="41" t="e">
        <f t="shared" si="44"/>
        <v>#VALUE!</v>
      </c>
      <c r="AC64" s="41" t="e">
        <f t="shared" si="44"/>
        <v>#VALUE!</v>
      </c>
      <c r="AD64" s="41" t="e">
        <f t="shared" si="44"/>
        <v>#VALUE!</v>
      </c>
      <c r="AE64" s="41" t="e">
        <f t="shared" si="44"/>
        <v>#VALUE!</v>
      </c>
      <c r="AF64" s="41" t="e">
        <f t="shared" si="44"/>
        <v>#VALUE!</v>
      </c>
      <c r="AG64" s="41" t="e">
        <f t="shared" si="44"/>
        <v>#VALUE!</v>
      </c>
      <c r="AH64" s="41" t="e">
        <f t="shared" si="44"/>
        <v>#VALUE!</v>
      </c>
      <c r="AI64" s="41" t="e">
        <f t="shared" si="44"/>
        <v>#VALUE!</v>
      </c>
      <c r="AJ64" s="41" t="e">
        <f t="shared" si="44"/>
        <v>#VALUE!</v>
      </c>
      <c r="AK64" s="41" t="e">
        <f t="shared" si="44"/>
        <v>#VALUE!</v>
      </c>
      <c r="AL64" s="41" t="e">
        <f t="shared" si="44"/>
        <v>#VALUE!</v>
      </c>
      <c r="AM64" s="41" t="e">
        <f t="shared" si="44"/>
        <v>#VALUE!</v>
      </c>
      <c r="AN64" s="41" t="e">
        <f t="shared" si="44"/>
        <v>#VALUE!</v>
      </c>
      <c r="AO64" s="41" t="e">
        <f t="shared" si="44"/>
        <v>#VALUE!</v>
      </c>
      <c r="AP64" s="41" t="e">
        <f t="shared" si="44"/>
        <v>#VALUE!</v>
      </c>
      <c r="AQ64" s="41" t="e">
        <f t="shared" si="44"/>
        <v>#VALUE!</v>
      </c>
      <c r="AR64" s="41" t="e">
        <f t="shared" si="44"/>
        <v>#VALUE!</v>
      </c>
      <c r="AS64" s="41" t="e">
        <f t="shared" si="44"/>
        <v>#VALUE!</v>
      </c>
      <c r="AT64" s="41" t="e">
        <f t="shared" si="44"/>
        <v>#VALUE!</v>
      </c>
      <c r="AU64" s="41" t="e">
        <f t="shared" si="44"/>
        <v>#VALUE!</v>
      </c>
      <c r="AV64" s="41" t="e">
        <f t="shared" si="44"/>
        <v>#VALUE!</v>
      </c>
      <c r="AW64" s="41" t="e">
        <f t="shared" si="44"/>
        <v>#VALUE!</v>
      </c>
      <c r="AX64" s="41" t="e">
        <f t="shared" si="44"/>
        <v>#VALUE!</v>
      </c>
      <c r="AY64" s="41" t="e">
        <f t="shared" si="44"/>
        <v>#VALUE!</v>
      </c>
      <c r="AZ64" s="41" t="e">
        <f t="shared" si="44"/>
        <v>#VALUE!</v>
      </c>
      <c r="BA64" s="41" t="e">
        <f t="shared" si="44"/>
        <v>#VALUE!</v>
      </c>
      <c r="BB64" s="41" t="e">
        <f t="shared" si="44"/>
        <v>#VALUE!</v>
      </c>
      <c r="BC64" s="41" t="e">
        <f t="shared" si="44"/>
        <v>#VALUE!</v>
      </c>
      <c r="BD64" s="41" t="e">
        <f t="shared" si="44"/>
        <v>#VALUE!</v>
      </c>
      <c r="BE64" s="41" t="e">
        <f t="shared" si="44"/>
        <v>#VALUE!</v>
      </c>
      <c r="BF64" s="41" t="e">
        <f t="shared" si="44"/>
        <v>#VALUE!</v>
      </c>
      <c r="BG64" s="41" t="e">
        <f t="shared" si="44"/>
        <v>#VALUE!</v>
      </c>
      <c r="BH64" s="41" t="e">
        <f t="shared" si="44"/>
        <v>#VALUE!</v>
      </c>
      <c r="BI64" s="41" t="e">
        <f t="shared" si="44"/>
        <v>#VALUE!</v>
      </c>
      <c r="BJ64" s="41" t="e">
        <f t="shared" si="44"/>
        <v>#VALUE!</v>
      </c>
      <c r="BK64" s="41" t="e">
        <f t="shared" si="44"/>
        <v>#VALUE!</v>
      </c>
      <c r="BL64" s="41" t="e">
        <f t="shared" si="44"/>
        <v>#VALUE!</v>
      </c>
      <c r="BM64" s="41" t="e">
        <f t="shared" si="44"/>
        <v>#VALUE!</v>
      </c>
      <c r="BN64" s="41" t="e">
        <f t="shared" si="44"/>
        <v>#VALUE!</v>
      </c>
      <c r="BO64" s="41" t="e">
        <f t="shared" si="44"/>
        <v>#VALUE!</v>
      </c>
      <c r="BP64" s="41" t="e">
        <f t="shared" si="44"/>
        <v>#VALUE!</v>
      </c>
      <c r="BQ64" s="41" t="e">
        <f t="shared" si="44"/>
        <v>#VALUE!</v>
      </c>
      <c r="BR64" s="41" t="e">
        <f t="shared" ref="BR64:DA64" si="45">IF(ISNUMBER(FIND("R",$B$16)),(BR38-BR12)^2,(BR39-BR12)^2)</f>
        <v>#VALUE!</v>
      </c>
      <c r="BS64" s="41" t="e">
        <f t="shared" si="45"/>
        <v>#VALUE!</v>
      </c>
      <c r="BT64" s="41" t="e">
        <f t="shared" si="45"/>
        <v>#VALUE!</v>
      </c>
      <c r="BU64" s="41" t="e">
        <f t="shared" si="45"/>
        <v>#VALUE!</v>
      </c>
      <c r="BV64" s="41" t="e">
        <f t="shared" si="45"/>
        <v>#VALUE!</v>
      </c>
      <c r="BW64" s="41" t="e">
        <f t="shared" si="45"/>
        <v>#VALUE!</v>
      </c>
      <c r="BX64" s="41" t="e">
        <f t="shared" si="45"/>
        <v>#VALUE!</v>
      </c>
      <c r="BY64" s="41" t="e">
        <f t="shared" si="45"/>
        <v>#VALUE!</v>
      </c>
      <c r="BZ64" s="41" t="e">
        <f t="shared" si="45"/>
        <v>#VALUE!</v>
      </c>
      <c r="CA64" s="41" t="e">
        <f t="shared" si="45"/>
        <v>#VALUE!</v>
      </c>
      <c r="CB64" s="41" t="e">
        <f t="shared" si="45"/>
        <v>#VALUE!</v>
      </c>
      <c r="CC64" s="41" t="e">
        <f t="shared" si="45"/>
        <v>#VALUE!</v>
      </c>
      <c r="CD64" s="41" t="e">
        <f t="shared" si="45"/>
        <v>#VALUE!</v>
      </c>
      <c r="CE64" s="41" t="e">
        <f t="shared" si="45"/>
        <v>#VALUE!</v>
      </c>
      <c r="CF64" s="41" t="e">
        <f t="shared" si="45"/>
        <v>#VALUE!</v>
      </c>
      <c r="CG64" s="41" t="e">
        <f t="shared" si="45"/>
        <v>#VALUE!</v>
      </c>
      <c r="CH64" s="41" t="e">
        <f t="shared" si="45"/>
        <v>#VALUE!</v>
      </c>
      <c r="CI64" s="41" t="e">
        <f t="shared" si="45"/>
        <v>#VALUE!</v>
      </c>
      <c r="CJ64" s="41" t="e">
        <f t="shared" si="45"/>
        <v>#VALUE!</v>
      </c>
      <c r="CK64" s="41" t="e">
        <f t="shared" si="45"/>
        <v>#VALUE!</v>
      </c>
      <c r="CL64" s="41" t="e">
        <f t="shared" si="45"/>
        <v>#VALUE!</v>
      </c>
      <c r="CM64" s="41" t="e">
        <f t="shared" si="45"/>
        <v>#VALUE!</v>
      </c>
      <c r="CN64" s="41" t="e">
        <f t="shared" si="45"/>
        <v>#VALUE!</v>
      </c>
      <c r="CO64" s="41" t="e">
        <f t="shared" si="45"/>
        <v>#VALUE!</v>
      </c>
      <c r="CP64" s="41" t="e">
        <f t="shared" si="45"/>
        <v>#VALUE!</v>
      </c>
      <c r="CQ64" s="41" t="e">
        <f t="shared" si="45"/>
        <v>#VALUE!</v>
      </c>
      <c r="CR64" s="41" t="e">
        <f t="shared" si="45"/>
        <v>#VALUE!</v>
      </c>
      <c r="CS64" s="41" t="e">
        <f t="shared" si="45"/>
        <v>#VALUE!</v>
      </c>
      <c r="CT64" s="41" t="e">
        <f t="shared" si="45"/>
        <v>#VALUE!</v>
      </c>
      <c r="CU64" s="41" t="e">
        <f t="shared" si="45"/>
        <v>#VALUE!</v>
      </c>
      <c r="CV64" s="41" t="e">
        <f t="shared" si="45"/>
        <v>#VALUE!</v>
      </c>
      <c r="CW64" s="41" t="e">
        <f t="shared" si="45"/>
        <v>#VALUE!</v>
      </c>
      <c r="CX64" s="41" t="e">
        <f t="shared" si="45"/>
        <v>#VALUE!</v>
      </c>
      <c r="CY64" s="41" t="e">
        <f t="shared" si="45"/>
        <v>#VALUE!</v>
      </c>
      <c r="CZ64" s="41" t="e">
        <f t="shared" si="45"/>
        <v>#VALUE!</v>
      </c>
      <c r="DA64" s="41" t="e">
        <f t="shared" si="45"/>
        <v>#VALUE!</v>
      </c>
    </row>
    <row r="65" spans="1:105" x14ac:dyDescent="0.25">
      <c r="B65" t="s">
        <v>15</v>
      </c>
      <c r="E65" s="41" t="e">
        <f>IF(ISNUMBER(FIND("R",$B$16)),(E39-E12)^2,(E38-E12)^2)</f>
        <v>#VALUE!</v>
      </c>
      <c r="F65" s="41" t="e">
        <f t="shared" ref="F65:BQ65" si="46">IF(ISNUMBER(FIND("R",$B$16)),(F39-F12)^2,(F38-F12)^2)</f>
        <v>#VALUE!</v>
      </c>
      <c r="G65" s="41" t="e">
        <f t="shared" si="46"/>
        <v>#VALUE!</v>
      </c>
      <c r="H65" s="41" t="e">
        <f t="shared" si="46"/>
        <v>#VALUE!</v>
      </c>
      <c r="I65" s="41" t="e">
        <f t="shared" si="46"/>
        <v>#VALUE!</v>
      </c>
      <c r="J65" s="41" t="e">
        <f t="shared" si="46"/>
        <v>#VALUE!</v>
      </c>
      <c r="K65" s="41" t="e">
        <f t="shared" si="46"/>
        <v>#VALUE!</v>
      </c>
      <c r="L65" s="41" t="e">
        <f t="shared" si="46"/>
        <v>#VALUE!</v>
      </c>
      <c r="M65" s="41" t="e">
        <f t="shared" si="46"/>
        <v>#VALUE!</v>
      </c>
      <c r="N65" s="41" t="e">
        <f t="shared" si="46"/>
        <v>#VALUE!</v>
      </c>
      <c r="O65" s="41" t="e">
        <f t="shared" si="46"/>
        <v>#VALUE!</v>
      </c>
      <c r="P65" s="41" t="e">
        <f t="shared" si="46"/>
        <v>#VALUE!</v>
      </c>
      <c r="Q65" s="41" t="e">
        <f t="shared" si="46"/>
        <v>#VALUE!</v>
      </c>
      <c r="R65" s="41" t="e">
        <f t="shared" si="46"/>
        <v>#VALUE!</v>
      </c>
      <c r="S65" s="41" t="e">
        <f t="shared" si="46"/>
        <v>#VALUE!</v>
      </c>
      <c r="T65" s="41" t="e">
        <f t="shared" si="46"/>
        <v>#VALUE!</v>
      </c>
      <c r="U65" s="41" t="e">
        <f t="shared" si="46"/>
        <v>#VALUE!</v>
      </c>
      <c r="V65" s="41" t="e">
        <f t="shared" si="46"/>
        <v>#VALUE!</v>
      </c>
      <c r="W65" s="41" t="e">
        <f t="shared" si="46"/>
        <v>#VALUE!</v>
      </c>
      <c r="X65" s="41" t="e">
        <f t="shared" si="46"/>
        <v>#VALUE!</v>
      </c>
      <c r="Y65" s="41" t="e">
        <f t="shared" si="46"/>
        <v>#VALUE!</v>
      </c>
      <c r="Z65" s="41" t="e">
        <f t="shared" si="46"/>
        <v>#VALUE!</v>
      </c>
      <c r="AA65" s="41" t="e">
        <f t="shared" si="46"/>
        <v>#VALUE!</v>
      </c>
      <c r="AB65" s="41" t="e">
        <f t="shared" si="46"/>
        <v>#VALUE!</v>
      </c>
      <c r="AC65" s="41" t="e">
        <f t="shared" si="46"/>
        <v>#VALUE!</v>
      </c>
      <c r="AD65" s="41" t="e">
        <f t="shared" si="46"/>
        <v>#VALUE!</v>
      </c>
      <c r="AE65" s="41" t="e">
        <f t="shared" si="46"/>
        <v>#VALUE!</v>
      </c>
      <c r="AF65" s="41" t="e">
        <f t="shared" si="46"/>
        <v>#VALUE!</v>
      </c>
      <c r="AG65" s="41" t="e">
        <f t="shared" si="46"/>
        <v>#VALUE!</v>
      </c>
      <c r="AH65" s="41" t="e">
        <f t="shared" si="46"/>
        <v>#VALUE!</v>
      </c>
      <c r="AI65" s="41" t="e">
        <f t="shared" si="46"/>
        <v>#VALUE!</v>
      </c>
      <c r="AJ65" s="41" t="e">
        <f t="shared" si="46"/>
        <v>#VALUE!</v>
      </c>
      <c r="AK65" s="41" t="e">
        <f t="shared" si="46"/>
        <v>#VALUE!</v>
      </c>
      <c r="AL65" s="41" t="e">
        <f t="shared" si="46"/>
        <v>#VALUE!</v>
      </c>
      <c r="AM65" s="41" t="e">
        <f t="shared" si="46"/>
        <v>#VALUE!</v>
      </c>
      <c r="AN65" s="41" t="e">
        <f t="shared" si="46"/>
        <v>#VALUE!</v>
      </c>
      <c r="AO65" s="41" t="e">
        <f t="shared" si="46"/>
        <v>#VALUE!</v>
      </c>
      <c r="AP65" s="41" t="e">
        <f t="shared" si="46"/>
        <v>#VALUE!</v>
      </c>
      <c r="AQ65" s="41" t="e">
        <f t="shared" si="46"/>
        <v>#VALUE!</v>
      </c>
      <c r="AR65" s="41" t="e">
        <f t="shared" si="46"/>
        <v>#VALUE!</v>
      </c>
      <c r="AS65" s="41" t="e">
        <f t="shared" si="46"/>
        <v>#VALUE!</v>
      </c>
      <c r="AT65" s="41" t="e">
        <f t="shared" si="46"/>
        <v>#VALUE!</v>
      </c>
      <c r="AU65" s="41" t="e">
        <f t="shared" si="46"/>
        <v>#VALUE!</v>
      </c>
      <c r="AV65" s="41" t="e">
        <f t="shared" si="46"/>
        <v>#VALUE!</v>
      </c>
      <c r="AW65" s="41" t="e">
        <f t="shared" si="46"/>
        <v>#VALUE!</v>
      </c>
      <c r="AX65" s="41" t="e">
        <f t="shared" si="46"/>
        <v>#VALUE!</v>
      </c>
      <c r="AY65" s="41" t="e">
        <f t="shared" si="46"/>
        <v>#VALUE!</v>
      </c>
      <c r="AZ65" s="41" t="e">
        <f t="shared" si="46"/>
        <v>#VALUE!</v>
      </c>
      <c r="BA65" s="41" t="e">
        <f t="shared" si="46"/>
        <v>#VALUE!</v>
      </c>
      <c r="BB65" s="41" t="e">
        <f t="shared" si="46"/>
        <v>#VALUE!</v>
      </c>
      <c r="BC65" s="41" t="e">
        <f t="shared" si="46"/>
        <v>#VALUE!</v>
      </c>
      <c r="BD65" s="41" t="e">
        <f t="shared" si="46"/>
        <v>#VALUE!</v>
      </c>
      <c r="BE65" s="41" t="e">
        <f t="shared" si="46"/>
        <v>#VALUE!</v>
      </c>
      <c r="BF65" s="41" t="e">
        <f t="shared" si="46"/>
        <v>#VALUE!</v>
      </c>
      <c r="BG65" s="41" t="e">
        <f t="shared" si="46"/>
        <v>#VALUE!</v>
      </c>
      <c r="BH65" s="41" t="e">
        <f t="shared" si="46"/>
        <v>#VALUE!</v>
      </c>
      <c r="BI65" s="41" t="e">
        <f t="shared" si="46"/>
        <v>#VALUE!</v>
      </c>
      <c r="BJ65" s="41" t="e">
        <f t="shared" si="46"/>
        <v>#VALUE!</v>
      </c>
      <c r="BK65" s="41" t="e">
        <f t="shared" si="46"/>
        <v>#VALUE!</v>
      </c>
      <c r="BL65" s="41" t="e">
        <f t="shared" si="46"/>
        <v>#VALUE!</v>
      </c>
      <c r="BM65" s="41" t="e">
        <f t="shared" si="46"/>
        <v>#VALUE!</v>
      </c>
      <c r="BN65" s="41" t="e">
        <f t="shared" si="46"/>
        <v>#VALUE!</v>
      </c>
      <c r="BO65" s="41" t="e">
        <f t="shared" si="46"/>
        <v>#VALUE!</v>
      </c>
      <c r="BP65" s="41" t="e">
        <f t="shared" si="46"/>
        <v>#VALUE!</v>
      </c>
      <c r="BQ65" s="41" t="e">
        <f t="shared" si="46"/>
        <v>#VALUE!</v>
      </c>
      <c r="BR65" s="41" t="e">
        <f t="shared" ref="BR65:DA65" si="47">IF(ISNUMBER(FIND("R",$B$16)),(BR39-BR12)^2,(BR38-BR12)^2)</f>
        <v>#VALUE!</v>
      </c>
      <c r="BS65" s="41" t="e">
        <f t="shared" si="47"/>
        <v>#VALUE!</v>
      </c>
      <c r="BT65" s="41" t="e">
        <f t="shared" si="47"/>
        <v>#VALUE!</v>
      </c>
      <c r="BU65" s="41" t="e">
        <f t="shared" si="47"/>
        <v>#VALUE!</v>
      </c>
      <c r="BV65" s="41" t="e">
        <f t="shared" si="47"/>
        <v>#VALUE!</v>
      </c>
      <c r="BW65" s="41" t="e">
        <f t="shared" si="47"/>
        <v>#VALUE!</v>
      </c>
      <c r="BX65" s="41" t="e">
        <f t="shared" si="47"/>
        <v>#VALUE!</v>
      </c>
      <c r="BY65" s="41" t="e">
        <f t="shared" si="47"/>
        <v>#VALUE!</v>
      </c>
      <c r="BZ65" s="41" t="e">
        <f t="shared" si="47"/>
        <v>#VALUE!</v>
      </c>
      <c r="CA65" s="41" t="e">
        <f t="shared" si="47"/>
        <v>#VALUE!</v>
      </c>
      <c r="CB65" s="41" t="e">
        <f t="shared" si="47"/>
        <v>#VALUE!</v>
      </c>
      <c r="CC65" s="41" t="e">
        <f t="shared" si="47"/>
        <v>#VALUE!</v>
      </c>
      <c r="CD65" s="41" t="e">
        <f t="shared" si="47"/>
        <v>#VALUE!</v>
      </c>
      <c r="CE65" s="41" t="e">
        <f t="shared" si="47"/>
        <v>#VALUE!</v>
      </c>
      <c r="CF65" s="41" t="e">
        <f t="shared" si="47"/>
        <v>#VALUE!</v>
      </c>
      <c r="CG65" s="41" t="e">
        <f t="shared" si="47"/>
        <v>#VALUE!</v>
      </c>
      <c r="CH65" s="41" t="e">
        <f t="shared" si="47"/>
        <v>#VALUE!</v>
      </c>
      <c r="CI65" s="41" t="e">
        <f t="shared" si="47"/>
        <v>#VALUE!</v>
      </c>
      <c r="CJ65" s="41" t="e">
        <f t="shared" si="47"/>
        <v>#VALUE!</v>
      </c>
      <c r="CK65" s="41" t="e">
        <f t="shared" si="47"/>
        <v>#VALUE!</v>
      </c>
      <c r="CL65" s="41" t="e">
        <f t="shared" si="47"/>
        <v>#VALUE!</v>
      </c>
      <c r="CM65" s="41" t="e">
        <f t="shared" si="47"/>
        <v>#VALUE!</v>
      </c>
      <c r="CN65" s="41" t="e">
        <f t="shared" si="47"/>
        <v>#VALUE!</v>
      </c>
      <c r="CO65" s="41" t="e">
        <f t="shared" si="47"/>
        <v>#VALUE!</v>
      </c>
      <c r="CP65" s="41" t="e">
        <f t="shared" si="47"/>
        <v>#VALUE!</v>
      </c>
      <c r="CQ65" s="41" t="e">
        <f t="shared" si="47"/>
        <v>#VALUE!</v>
      </c>
      <c r="CR65" s="41" t="e">
        <f t="shared" si="47"/>
        <v>#VALUE!</v>
      </c>
      <c r="CS65" s="41" t="e">
        <f t="shared" si="47"/>
        <v>#VALUE!</v>
      </c>
      <c r="CT65" s="41" t="e">
        <f t="shared" si="47"/>
        <v>#VALUE!</v>
      </c>
      <c r="CU65" s="41" t="e">
        <f t="shared" si="47"/>
        <v>#VALUE!</v>
      </c>
      <c r="CV65" s="41" t="e">
        <f t="shared" si="47"/>
        <v>#VALUE!</v>
      </c>
      <c r="CW65" s="41" t="e">
        <f t="shared" si="47"/>
        <v>#VALUE!</v>
      </c>
      <c r="CX65" s="41" t="e">
        <f t="shared" si="47"/>
        <v>#VALUE!</v>
      </c>
      <c r="CY65" s="41" t="e">
        <f t="shared" si="47"/>
        <v>#VALUE!</v>
      </c>
      <c r="CZ65" s="41" t="e">
        <f t="shared" si="47"/>
        <v>#VALUE!</v>
      </c>
      <c r="DA65" s="41" t="e">
        <f t="shared" si="47"/>
        <v>#VALUE!</v>
      </c>
    </row>
    <row r="67" spans="1:105" x14ac:dyDescent="0.25">
      <c r="G67" s="11" t="s">
        <v>33</v>
      </c>
      <c r="H67" s="12"/>
      <c r="I67" s="12"/>
      <c r="J67" s="12"/>
      <c r="K67" s="12"/>
      <c r="M67" s="11" t="s">
        <v>34</v>
      </c>
      <c r="N67" s="12"/>
      <c r="O67" s="12"/>
      <c r="P67" s="12"/>
    </row>
    <row r="68" spans="1:105" x14ac:dyDescent="0.25">
      <c r="A68" s="1" t="s">
        <v>18</v>
      </c>
      <c r="B68" t="s">
        <v>8</v>
      </c>
      <c r="C68" s="4" t="e">
        <f t="shared" ref="C68:C91" si="48">AVERAGE(E42:DA42)^0.5</f>
        <v>#VALUE!</v>
      </c>
      <c r="D68" s="4" t="e">
        <f t="shared" ref="D68:D91" si="49">STDEV(E42:DA42)^0.5</f>
        <v>#VALUE!</v>
      </c>
      <c r="E68" s="2"/>
      <c r="F68" s="2"/>
      <c r="G68" s="12"/>
      <c r="H68" s="12" t="s">
        <v>44</v>
      </c>
      <c r="I68" s="12" t="s">
        <v>45</v>
      </c>
      <c r="J68" s="12" t="s">
        <v>46</v>
      </c>
      <c r="K68" s="14" t="s">
        <v>47</v>
      </c>
      <c r="M68" s="12" t="s">
        <v>26</v>
      </c>
      <c r="N68" s="12" t="s">
        <v>24</v>
      </c>
      <c r="O68" s="14" t="s">
        <v>23</v>
      </c>
      <c r="P68" s="12" t="s">
        <v>36</v>
      </c>
    </row>
    <row r="69" spans="1:105" x14ac:dyDescent="0.25">
      <c r="B69" t="s">
        <v>7</v>
      </c>
      <c r="C69" s="4" t="e">
        <f t="shared" si="48"/>
        <v>#VALUE!</v>
      </c>
      <c r="D69" s="4" t="e">
        <f t="shared" si="49"/>
        <v>#VALUE!</v>
      </c>
      <c r="G69" s="12" t="s">
        <v>22</v>
      </c>
      <c r="H69" s="13" t="e">
        <f>J69</f>
        <v>#VALUE!</v>
      </c>
      <c r="I69" s="13" t="e">
        <f>J69</f>
        <v>#VALUE!</v>
      </c>
      <c r="J69" s="13" t="e">
        <f>AVERAGE(C68:C69)</f>
        <v>#VALUE!</v>
      </c>
      <c r="K69" s="13"/>
      <c r="M69" s="12"/>
      <c r="N69" s="12"/>
      <c r="O69" s="13" t="e">
        <f>AVERAGE(D68:D69)</f>
        <v>#VALUE!</v>
      </c>
      <c r="P69" s="12"/>
    </row>
    <row r="70" spans="1:105" x14ac:dyDescent="0.25">
      <c r="B70" t="s">
        <v>10</v>
      </c>
      <c r="C70" s="4" t="e">
        <f t="shared" si="48"/>
        <v>#VALUE!</v>
      </c>
      <c r="D70" s="4" t="e">
        <f t="shared" si="49"/>
        <v>#VALUE!</v>
      </c>
      <c r="G70" s="12" t="s">
        <v>25</v>
      </c>
      <c r="H70" s="13" t="e">
        <f>C70</f>
        <v>#VALUE!</v>
      </c>
      <c r="I70" s="13" t="e">
        <f>C71</f>
        <v>#VALUE!</v>
      </c>
      <c r="J70" s="13"/>
      <c r="K70" s="13"/>
      <c r="M70" s="13" t="e">
        <f>D70</f>
        <v>#VALUE!</v>
      </c>
      <c r="N70" s="13" t="e">
        <f>D71</f>
        <v>#VALUE!</v>
      </c>
      <c r="O70" s="12"/>
      <c r="P70" s="12"/>
    </row>
    <row r="71" spans="1:105" x14ac:dyDescent="0.25">
      <c r="B71" t="s">
        <v>9</v>
      </c>
      <c r="C71" s="4" t="e">
        <f t="shared" si="48"/>
        <v>#VALUE!</v>
      </c>
      <c r="D71" s="4" t="e">
        <f t="shared" si="49"/>
        <v>#VALUE!</v>
      </c>
      <c r="G71" s="12" t="s">
        <v>27</v>
      </c>
      <c r="H71" s="13" t="e">
        <f>C72</f>
        <v>#VALUE!</v>
      </c>
      <c r="I71" s="13" t="e">
        <f>C73</f>
        <v>#VALUE!</v>
      </c>
      <c r="J71" s="13"/>
      <c r="K71" s="13"/>
      <c r="M71" s="13" t="e">
        <f>D72</f>
        <v>#VALUE!</v>
      </c>
      <c r="N71" s="13" t="e">
        <f>D73</f>
        <v>#VALUE!</v>
      </c>
      <c r="O71" s="12"/>
      <c r="P71" s="12"/>
    </row>
    <row r="72" spans="1:105" x14ac:dyDescent="0.25">
      <c r="B72" t="s">
        <v>12</v>
      </c>
      <c r="C72" s="4" t="e">
        <f t="shared" si="48"/>
        <v>#VALUE!</v>
      </c>
      <c r="D72" s="4" t="e">
        <f t="shared" si="49"/>
        <v>#VALUE!</v>
      </c>
      <c r="G72" s="12" t="s">
        <v>39</v>
      </c>
      <c r="H72" s="13" t="e">
        <f>C74</f>
        <v>#VALUE!</v>
      </c>
      <c r="I72" s="13" t="e">
        <f>C75</f>
        <v>#VALUE!</v>
      </c>
      <c r="J72" s="13"/>
      <c r="K72" s="13"/>
      <c r="M72" s="13" t="e">
        <f>D74</f>
        <v>#VALUE!</v>
      </c>
      <c r="N72" s="13" t="e">
        <f>D75</f>
        <v>#VALUE!</v>
      </c>
      <c r="O72" s="12"/>
      <c r="P72" s="12"/>
    </row>
    <row r="73" spans="1:105" x14ac:dyDescent="0.25">
      <c r="B73" t="s">
        <v>11</v>
      </c>
      <c r="C73" s="4" t="e">
        <f t="shared" si="48"/>
        <v>#VALUE!</v>
      </c>
      <c r="D73" s="4" t="e">
        <f t="shared" si="49"/>
        <v>#VALUE!</v>
      </c>
      <c r="G73" s="12" t="s">
        <v>28</v>
      </c>
      <c r="H73" s="13" t="e">
        <f>J73</f>
        <v>#VALUE!</v>
      </c>
      <c r="I73" s="13" t="e">
        <f>J73</f>
        <v>#VALUE!</v>
      </c>
      <c r="J73" s="13" t="e">
        <f>AVERAGE(C76:C77)</f>
        <v>#VALUE!</v>
      </c>
      <c r="K73" s="13"/>
      <c r="M73" s="12"/>
      <c r="N73" s="12"/>
      <c r="O73" s="13" t="e">
        <f>AVERAGE(D76:D77)</f>
        <v>#VALUE!</v>
      </c>
      <c r="P73" s="12"/>
    </row>
    <row r="74" spans="1:105" x14ac:dyDescent="0.25">
      <c r="B74" t="s">
        <v>14</v>
      </c>
      <c r="C74" s="4" t="e">
        <f t="shared" si="48"/>
        <v>#VALUE!</v>
      </c>
      <c r="D74" s="4" t="e">
        <f t="shared" si="49"/>
        <v>#VALUE!</v>
      </c>
      <c r="G74" s="12" t="s">
        <v>29</v>
      </c>
      <c r="H74" s="13" t="e">
        <f>C78</f>
        <v>#VALUE!</v>
      </c>
      <c r="I74" s="13" t="e">
        <f>C79</f>
        <v>#VALUE!</v>
      </c>
      <c r="J74" s="13"/>
      <c r="K74" s="13"/>
      <c r="M74" s="13" t="e">
        <f>D78</f>
        <v>#VALUE!</v>
      </c>
      <c r="N74" s="13" t="e">
        <f>D79</f>
        <v>#VALUE!</v>
      </c>
      <c r="O74" s="12"/>
      <c r="P74" s="12"/>
    </row>
    <row r="75" spans="1:105" x14ac:dyDescent="0.25">
      <c r="B75" t="s">
        <v>13</v>
      </c>
      <c r="C75" s="4" t="e">
        <f t="shared" si="48"/>
        <v>#VALUE!</v>
      </c>
      <c r="D75" s="4" t="e">
        <f t="shared" si="49"/>
        <v>#VALUE!</v>
      </c>
      <c r="G75" s="12" t="s">
        <v>38</v>
      </c>
      <c r="H75" s="13" t="e">
        <f>C80</f>
        <v>#VALUE!</v>
      </c>
      <c r="I75" s="13" t="e">
        <f>C81</f>
        <v>#VALUE!</v>
      </c>
      <c r="J75" s="13"/>
      <c r="K75" s="13"/>
      <c r="M75" s="13" t="e">
        <f>D80</f>
        <v>#VALUE!</v>
      </c>
      <c r="N75" s="13" t="e">
        <f>D81</f>
        <v>#VALUE!</v>
      </c>
      <c r="O75" s="12"/>
      <c r="P75" s="12"/>
    </row>
    <row r="76" spans="1:105" x14ac:dyDescent="0.25">
      <c r="B76" t="s">
        <v>8</v>
      </c>
      <c r="C76" s="4" t="e">
        <f t="shared" si="48"/>
        <v>#VALUE!</v>
      </c>
      <c r="D76" s="4" t="e">
        <f t="shared" si="49"/>
        <v>#VALUE!</v>
      </c>
      <c r="G76" s="12" t="s">
        <v>30</v>
      </c>
      <c r="H76" s="13" t="e">
        <f>J76</f>
        <v>#VALUE!</v>
      </c>
      <c r="I76" s="13" t="e">
        <f>J76</f>
        <v>#VALUE!</v>
      </c>
      <c r="J76" s="13" t="e">
        <f>AVERAGE(C82:C83)</f>
        <v>#VALUE!</v>
      </c>
      <c r="K76" s="13"/>
      <c r="M76" s="12"/>
      <c r="N76" s="12"/>
      <c r="O76" s="13" t="e">
        <f>AVERAGE(D82:D83)</f>
        <v>#VALUE!</v>
      </c>
      <c r="P76" s="12"/>
    </row>
    <row r="77" spans="1:105" x14ac:dyDescent="0.25">
      <c r="B77" t="s">
        <v>7</v>
      </c>
      <c r="C77" s="4" t="e">
        <f t="shared" si="48"/>
        <v>#VALUE!</v>
      </c>
      <c r="D77" s="4" t="e">
        <f t="shared" si="49"/>
        <v>#VALUE!</v>
      </c>
      <c r="G77" s="12" t="s">
        <v>37</v>
      </c>
      <c r="H77" s="13" t="e">
        <f>C84</f>
        <v>#VALUE!</v>
      </c>
      <c r="I77" s="13" t="e">
        <f>C85</f>
        <v>#VALUE!</v>
      </c>
      <c r="J77" s="13"/>
      <c r="K77" s="13"/>
      <c r="M77" s="13" t="e">
        <f>D84</f>
        <v>#VALUE!</v>
      </c>
      <c r="N77" s="13" t="e">
        <f>D85</f>
        <v>#VALUE!</v>
      </c>
      <c r="O77" s="12"/>
      <c r="P77" s="12"/>
    </row>
    <row r="78" spans="1:105" x14ac:dyDescent="0.25">
      <c r="B78" t="s">
        <v>10</v>
      </c>
      <c r="C78" s="4" t="e">
        <f t="shared" si="48"/>
        <v>#VALUE!</v>
      </c>
      <c r="D78" s="4" t="e">
        <f t="shared" si="49"/>
        <v>#VALUE!</v>
      </c>
      <c r="G78" s="12" t="s">
        <v>31</v>
      </c>
      <c r="H78" s="13" t="e">
        <f>C88</f>
        <v>#VALUE!</v>
      </c>
      <c r="I78" s="13" t="e">
        <f>C89</f>
        <v>#VALUE!</v>
      </c>
      <c r="J78" s="13"/>
      <c r="K78" s="13"/>
      <c r="M78" s="13" t="e">
        <f>D88</f>
        <v>#VALUE!</v>
      </c>
      <c r="N78" s="13" t="e">
        <f>D89</f>
        <v>#VALUE!</v>
      </c>
      <c r="O78" s="12"/>
      <c r="P78" s="12"/>
    </row>
    <row r="79" spans="1:105" x14ac:dyDescent="0.25">
      <c r="B79" t="s">
        <v>9</v>
      </c>
      <c r="C79" s="4" t="e">
        <f t="shared" si="48"/>
        <v>#VALUE!</v>
      </c>
      <c r="D79" s="4" t="e">
        <f t="shared" si="49"/>
        <v>#VALUE!</v>
      </c>
      <c r="G79" s="12" t="s">
        <v>32</v>
      </c>
      <c r="H79" s="13" t="e">
        <f>C90</f>
        <v>#VALUE!</v>
      </c>
      <c r="I79" s="13" t="e">
        <f>C91</f>
        <v>#VALUE!</v>
      </c>
      <c r="J79" s="13"/>
      <c r="K79" s="13"/>
      <c r="M79" s="13" t="e">
        <f>D90</f>
        <v>#VALUE!</v>
      </c>
      <c r="N79" s="13" t="e">
        <f>D91</f>
        <v>#VALUE!</v>
      </c>
      <c r="O79" s="12"/>
      <c r="P79" s="12"/>
    </row>
    <row r="80" spans="1:105" x14ac:dyDescent="0.25">
      <c r="B80" t="s">
        <v>12</v>
      </c>
      <c r="C80" s="4" t="e">
        <f t="shared" si="48"/>
        <v>#VALUE!</v>
      </c>
      <c r="D80" s="4" t="e">
        <f t="shared" si="49"/>
        <v>#VALUE!</v>
      </c>
      <c r="G80" s="12" t="s">
        <v>35</v>
      </c>
      <c r="H80" s="13" t="e">
        <f>G82</f>
        <v>#VALUE!</v>
      </c>
      <c r="I80" s="13" t="e">
        <f>G83</f>
        <v>#VALUE!</v>
      </c>
      <c r="J80" s="13"/>
      <c r="K80" s="13" t="e">
        <f>G84</f>
        <v>#VALUE!</v>
      </c>
      <c r="M80" s="13" t="e">
        <f>AVERAGE(M69:M79,O69,O73,O76)</f>
        <v>#VALUE!</v>
      </c>
      <c r="N80" s="13" t="e">
        <f>AVERAGE(N69:N79,O69,O73,O76)</f>
        <v>#VALUE!</v>
      </c>
      <c r="O80" s="12"/>
      <c r="P80" s="13" t="e">
        <f>AVERAGE(M80:N80)</f>
        <v>#VALUE!</v>
      </c>
    </row>
    <row r="81" spans="2:11" x14ac:dyDescent="0.25">
      <c r="B81" t="s">
        <v>11</v>
      </c>
      <c r="C81" s="4" t="e">
        <f t="shared" si="48"/>
        <v>#VALUE!</v>
      </c>
      <c r="D81" s="4" t="e">
        <f t="shared" si="49"/>
        <v>#VALUE!</v>
      </c>
      <c r="G81" s="37" t="s">
        <v>21</v>
      </c>
      <c r="H81" s="15" t="e">
        <f>K80</f>
        <v>#VALUE!</v>
      </c>
      <c r="I81" s="15" t="e">
        <f>K80</f>
        <v>#VALUE!</v>
      </c>
    </row>
    <row r="82" spans="2:11" x14ac:dyDescent="0.25">
      <c r="B82" t="s">
        <v>8</v>
      </c>
      <c r="C82" s="4" t="e">
        <f t="shared" si="48"/>
        <v>#VALUE!</v>
      </c>
      <c r="D82" s="4" t="e">
        <f t="shared" si="49"/>
        <v>#VALUE!</v>
      </c>
      <c r="F82" s="5" t="s">
        <v>20</v>
      </c>
      <c r="G82" s="6" t="e">
        <f>AVERAGE(C68,C70,C72,C74,C76,C78,C80,C82,C84,C88,C90)</f>
        <v>#VALUE!</v>
      </c>
    </row>
    <row r="83" spans="2:11" x14ac:dyDescent="0.25">
      <c r="B83" t="s">
        <v>7</v>
      </c>
      <c r="C83" s="4" t="e">
        <f t="shared" si="48"/>
        <v>#VALUE!</v>
      </c>
      <c r="D83" s="4" t="e">
        <f t="shared" si="49"/>
        <v>#VALUE!</v>
      </c>
      <c r="F83" s="7" t="s">
        <v>19</v>
      </c>
      <c r="G83" s="8" t="e">
        <f>AVERAGE(C69,C71,C73,C75,C77,C79,C81,C83,C85,C89,C91)</f>
        <v>#VALUE!</v>
      </c>
    </row>
    <row r="84" spans="2:11" x14ac:dyDescent="0.25">
      <c r="B84" t="s">
        <v>10</v>
      </c>
      <c r="C84" s="4" t="e">
        <f t="shared" si="48"/>
        <v>#VALUE!</v>
      </c>
      <c r="D84" s="4" t="e">
        <f t="shared" si="49"/>
        <v>#VALUE!</v>
      </c>
      <c r="F84" s="9" t="s">
        <v>21</v>
      </c>
      <c r="G84" s="10" t="e">
        <f>AVERAGE(G82:G83)</f>
        <v>#VALUE!</v>
      </c>
      <c r="I84" s="15"/>
      <c r="J84" s="15"/>
      <c r="K84" s="15"/>
    </row>
    <row r="85" spans="2:11" x14ac:dyDescent="0.25">
      <c r="B85" t="s">
        <v>9</v>
      </c>
      <c r="C85" s="4" t="e">
        <f t="shared" si="48"/>
        <v>#VALUE!</v>
      </c>
      <c r="D85" s="4" t="e">
        <f t="shared" si="49"/>
        <v>#VALUE!</v>
      </c>
      <c r="I85" s="15"/>
      <c r="J85" s="15"/>
      <c r="K85" s="15"/>
    </row>
    <row r="86" spans="2:11" x14ac:dyDescent="0.25">
      <c r="B86" t="s">
        <v>12</v>
      </c>
      <c r="C86" s="4" t="e">
        <f t="shared" si="48"/>
        <v>#VALUE!</v>
      </c>
      <c r="D86" s="4" t="e">
        <f t="shared" si="49"/>
        <v>#VALUE!</v>
      </c>
      <c r="I86" s="15"/>
      <c r="J86" s="15"/>
      <c r="K86" s="15"/>
    </row>
    <row r="87" spans="2:11" x14ac:dyDescent="0.25">
      <c r="B87" t="s">
        <v>11</v>
      </c>
      <c r="C87" s="4" t="e">
        <f t="shared" si="48"/>
        <v>#VALUE!</v>
      </c>
      <c r="D87" s="4" t="e">
        <f t="shared" si="49"/>
        <v>#VALUE!</v>
      </c>
      <c r="I87" s="15"/>
      <c r="J87" s="15"/>
      <c r="K87" s="15"/>
    </row>
    <row r="88" spans="2:11" ht="15.6" x14ac:dyDescent="0.25">
      <c r="B88" t="s">
        <v>14</v>
      </c>
      <c r="C88" s="4" t="e">
        <f t="shared" si="48"/>
        <v>#VALUE!</v>
      </c>
      <c r="D88" s="4" t="e">
        <f t="shared" si="49"/>
        <v>#VALUE!</v>
      </c>
      <c r="F88" s="3" t="s">
        <v>142</v>
      </c>
      <c r="G88" s="42" t="s">
        <v>129</v>
      </c>
      <c r="I88" s="15"/>
      <c r="J88" s="15"/>
      <c r="K88" s="15"/>
    </row>
    <row r="89" spans="2:11" ht="15.6" x14ac:dyDescent="0.25">
      <c r="B89" t="s">
        <v>13</v>
      </c>
      <c r="C89" s="4" t="e">
        <f t="shared" si="48"/>
        <v>#VALUE!</v>
      </c>
      <c r="D89" s="4" t="e">
        <f t="shared" si="49"/>
        <v>#VALUE!</v>
      </c>
      <c r="F89" s="3" t="s">
        <v>134</v>
      </c>
      <c r="G89" s="42" t="s">
        <v>130</v>
      </c>
      <c r="I89" s="15"/>
      <c r="J89" s="15"/>
      <c r="K89" s="15"/>
    </row>
    <row r="90" spans="2:11" ht="15.6" x14ac:dyDescent="0.25">
      <c r="B90" t="s">
        <v>16</v>
      </c>
      <c r="C90" s="4" t="e">
        <f t="shared" si="48"/>
        <v>#VALUE!</v>
      </c>
      <c r="D90" s="4" t="e">
        <f t="shared" si="49"/>
        <v>#VALUE!</v>
      </c>
      <c r="F90" s="3" t="s">
        <v>132</v>
      </c>
      <c r="G90" s="42" t="s">
        <v>131</v>
      </c>
      <c r="I90" s="15"/>
      <c r="J90" s="15"/>
      <c r="K90" s="15"/>
    </row>
    <row r="91" spans="2:11" ht="15.6" x14ac:dyDescent="0.25">
      <c r="B91" t="s">
        <v>15</v>
      </c>
      <c r="C91" s="4" t="e">
        <f t="shared" si="48"/>
        <v>#VALUE!</v>
      </c>
      <c r="D91" s="4" t="e">
        <f t="shared" si="49"/>
        <v>#VALUE!</v>
      </c>
      <c r="F91" s="44" t="s">
        <v>133</v>
      </c>
      <c r="H91" s="42" t="e">
        <f>VLOOKUP($E$14,F88:G90,2,0)</f>
        <v>#N/A</v>
      </c>
      <c r="I91" s="15"/>
      <c r="J91" s="15"/>
      <c r="K91" s="15"/>
    </row>
    <row r="92" spans="2:11" x14ac:dyDescent="0.25">
      <c r="I92" s="15"/>
      <c r="J92" s="15"/>
      <c r="K92" s="15"/>
    </row>
    <row r="93" spans="2:11" x14ac:dyDescent="0.25">
      <c r="I93" s="15"/>
      <c r="J93" s="15"/>
      <c r="K93" s="15"/>
    </row>
    <row r="94" spans="2:11" x14ac:dyDescent="0.25">
      <c r="I94" s="15"/>
      <c r="J94" s="15"/>
      <c r="K94" s="15"/>
    </row>
    <row r="95" spans="2:11" x14ac:dyDescent="0.25">
      <c r="I95" s="15"/>
      <c r="J95" s="15"/>
      <c r="K95" s="1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9"/>
  <sheetViews>
    <sheetView workbookViewId="0">
      <selection activeCell="T35" sqref="T35"/>
    </sheetView>
  </sheetViews>
  <sheetFormatPr defaultRowHeight="13.2" x14ac:dyDescent="0.25"/>
  <sheetData>
    <row r="1" spans="1:14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</row>
    <row r="3" spans="1:14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</row>
    <row r="4" spans="1:14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</row>
    <row r="5" spans="1:14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</row>
    <row r="6" spans="1:14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</row>
    <row r="7" spans="1:14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</row>
    <row r="8" spans="1:14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</row>
    <row r="9" spans="1:14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</row>
    <row r="10" spans="1:14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</row>
    <row r="11" spans="1:14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</row>
    <row r="12" spans="1:14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</row>
    <row r="13" spans="1:14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</row>
    <row r="14" spans="1:14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</row>
    <row r="15" spans="1:14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</row>
    <row r="16" spans="1:14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</row>
    <row r="17" spans="1:14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</row>
    <row r="18" spans="1:14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</row>
    <row r="19" spans="1:14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</row>
    <row r="20" spans="1:14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</row>
    <row r="21" spans="1:14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</row>
    <row r="22" spans="1:14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</row>
    <row r="23" spans="1:14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</row>
    <row r="24" spans="1:14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</row>
    <row r="25" spans="1:14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</row>
    <row r="26" spans="1:14" x14ac:dyDescent="0.2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</row>
    <row r="27" spans="1:14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</row>
    <row r="28" spans="1:14" ht="39" customHeight="1" x14ac:dyDescent="0.25">
      <c r="A28" s="40"/>
      <c r="B28" s="52" t="str">
        <f>IF(OR(Current!DA17="Blank",NOT(Current!DC17="Blank")),"Error:  incorrect number of data points output from Polygon","")</f>
        <v>Error:  incorrect number of data points output from Polygon</v>
      </c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40"/>
    </row>
    <row r="29" spans="1:14" x14ac:dyDescent="0.2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</row>
  </sheetData>
  <mergeCells count="1">
    <mergeCell ref="B28:M28"/>
  </mergeCells>
  <phoneticPr fontId="0" type="noConversion"/>
  <pageMargins left="0.75" right="0.75" top="1" bottom="1" header="0.5" footer="0.5"/>
  <pageSetup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0"/>
  <sheetViews>
    <sheetView workbookViewId="0">
      <selection activeCell="S33" sqref="S33"/>
    </sheetView>
  </sheetViews>
  <sheetFormatPr defaultRowHeight="13.2" x14ac:dyDescent="0.25"/>
  <sheetData>
    <row r="1" spans="1:15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5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5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</row>
    <row r="4" spans="1:15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</row>
    <row r="5" spans="1:15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</row>
    <row r="6" spans="1:15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</row>
    <row r="7" spans="1:15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</row>
    <row r="8" spans="1:15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</row>
    <row r="9" spans="1:15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</row>
    <row r="10" spans="1:15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</row>
    <row r="11" spans="1:15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</row>
    <row r="12" spans="1:15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</row>
    <row r="13" spans="1:15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</row>
    <row r="14" spans="1:15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</row>
    <row r="15" spans="1:15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</row>
    <row r="16" spans="1:15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</row>
    <row r="17" spans="1:15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</row>
    <row r="18" spans="1:15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</row>
    <row r="19" spans="1:15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</row>
    <row r="20" spans="1:15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</row>
    <row r="21" spans="1:15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</row>
    <row r="22" spans="1:15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</row>
    <row r="23" spans="1:15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</row>
    <row r="24" spans="1:15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</row>
    <row r="25" spans="1:15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</row>
    <row r="26" spans="1:15" ht="36" customHeight="1" x14ac:dyDescent="0.25">
      <c r="A26" s="40"/>
      <c r="B26" s="52" t="str">
        <f>IF(OR(Comparison!DA16="Blank",NOT(Comparison!DC16="Blank")),"Error:  incorrect number of data points output from Polygon","")</f>
        <v>Error:  incorrect number of data points output from Polygon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49"/>
      <c r="O26" s="40"/>
    </row>
    <row r="27" spans="1:15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</row>
    <row r="28" spans="1:15" x14ac:dyDescent="0.25">
      <c r="A28" t="s">
        <v>35</v>
      </c>
    </row>
    <row r="29" spans="1:15" x14ac:dyDescent="0.25">
      <c r="A29" t="s">
        <v>123</v>
      </c>
      <c r="B29" s="15" t="e">
        <f>Current!G85</f>
        <v>#VALUE!</v>
      </c>
    </row>
    <row r="30" spans="1:15" x14ac:dyDescent="0.25">
      <c r="A30" t="s">
        <v>124</v>
      </c>
      <c r="B30" s="15" t="e">
        <f>Comparison!G84</f>
        <v>#VALUE!</v>
      </c>
    </row>
  </sheetData>
  <mergeCells count="1">
    <mergeCell ref="B26:M26"/>
  </mergeCells>
  <phoneticPr fontId="0" type="noConversion"/>
  <pageMargins left="0.75" right="0.75" top="1" bottom="1" header="0.5" footer="0.5"/>
  <pageSetup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Q58"/>
  <sheetViews>
    <sheetView workbookViewId="0">
      <selection activeCell="C44" sqref="C44"/>
    </sheetView>
  </sheetViews>
  <sheetFormatPr defaultRowHeight="13.2" x14ac:dyDescent="0.25"/>
  <cols>
    <col min="1" max="1" width="10.33203125" bestFit="1" customWidth="1"/>
    <col min="2" max="2" width="22.44140625" bestFit="1" customWidth="1"/>
    <col min="3" max="3" width="16.6640625" bestFit="1" customWidth="1"/>
    <col min="4" max="4" width="9.6640625" bestFit="1" customWidth="1"/>
    <col min="5" max="5" width="9.44140625" bestFit="1" customWidth="1"/>
    <col min="6" max="6" width="9.5546875" bestFit="1" customWidth="1"/>
    <col min="7" max="7" width="10.88671875" bestFit="1" customWidth="1"/>
    <col min="8" max="8" width="11" bestFit="1" customWidth="1"/>
    <col min="9" max="9" width="11.6640625" bestFit="1" customWidth="1"/>
    <col min="10" max="10" width="11.88671875" bestFit="1" customWidth="1"/>
    <col min="11" max="11" width="10" bestFit="1" customWidth="1"/>
    <col min="12" max="12" width="9.44140625" bestFit="1" customWidth="1"/>
    <col min="13" max="13" width="9.5546875" bestFit="1" customWidth="1"/>
    <col min="14" max="15" width="9.5546875" customWidth="1"/>
    <col min="16" max="16" width="9.88671875" bestFit="1" customWidth="1"/>
    <col min="17" max="17" width="10.88671875" bestFit="1" customWidth="1"/>
    <col min="18" max="18" width="11" bestFit="1" customWidth="1"/>
    <col min="19" max="19" width="10.44140625" bestFit="1" customWidth="1"/>
    <col min="20" max="20" width="10.5546875" bestFit="1" customWidth="1"/>
    <col min="21" max="21" width="10.88671875" bestFit="1" customWidth="1"/>
    <col min="22" max="22" width="11" bestFit="1" customWidth="1"/>
    <col min="23" max="23" width="7.109375" bestFit="1" customWidth="1"/>
    <col min="24" max="24" width="7.33203125" bestFit="1" customWidth="1"/>
    <col min="25" max="25" width="5.44140625" bestFit="1" customWidth="1"/>
  </cols>
  <sheetData>
    <row r="1" spans="1:6" x14ac:dyDescent="0.25">
      <c r="A1" s="51" t="s">
        <v>77</v>
      </c>
      <c r="B1" s="51"/>
      <c r="C1" s="51"/>
    </row>
    <row r="2" spans="1:6" x14ac:dyDescent="0.25">
      <c r="A2" s="17"/>
      <c r="B2" s="17"/>
      <c r="C2" s="17"/>
    </row>
    <row r="3" spans="1:6" x14ac:dyDescent="0.25">
      <c r="A3" s="17" t="s">
        <v>78</v>
      </c>
      <c r="B3" s="17" t="str">
        <f>Current!B14</f>
        <v>?</v>
      </c>
      <c r="C3" s="22" t="s">
        <v>81</v>
      </c>
    </row>
    <row r="4" spans="1:6" x14ac:dyDescent="0.25">
      <c r="A4" s="17" t="s">
        <v>79</v>
      </c>
      <c r="B4" s="17" t="str">
        <f>Current!E14</f>
        <v>?</v>
      </c>
      <c r="C4" s="22" t="s">
        <v>81</v>
      </c>
    </row>
    <row r="5" spans="1:6" x14ac:dyDescent="0.25">
      <c r="A5" s="17" t="s">
        <v>80</v>
      </c>
      <c r="B5" s="17" t="str">
        <f>IF(B3&lt;5, "3-4", IF(B3&lt;8,"5-7",IF(B3&lt;10,"8-9",IF(B3&lt;13,"10-12",IF(B3&lt;17,"13-16","adult")))))</f>
        <v>adult</v>
      </c>
      <c r="C5" s="22" t="s">
        <v>82</v>
      </c>
      <c r="E5" s="38" t="s">
        <v>125</v>
      </c>
    </row>
    <row r="6" spans="1:6" x14ac:dyDescent="0.25">
      <c r="A6" s="17"/>
      <c r="B6" s="17"/>
      <c r="C6" s="17"/>
    </row>
    <row r="7" spans="1:6" x14ac:dyDescent="0.25">
      <c r="A7" s="17">
        <v>1</v>
      </c>
      <c r="B7" s="17" t="b">
        <f>IF(B5="5-7", TRUE, FALSE)</f>
        <v>0</v>
      </c>
      <c r="C7" s="17">
        <f>IF(B7=TRUE,1,0)</f>
        <v>0</v>
      </c>
    </row>
    <row r="8" spans="1:6" x14ac:dyDescent="0.25">
      <c r="A8" s="17">
        <v>2</v>
      </c>
      <c r="B8" s="17" t="b">
        <f>IF(B5="8-9",TRUE,FALSE)</f>
        <v>0</v>
      </c>
      <c r="C8" s="17">
        <f>IF(B8=TRUE,2,0)</f>
        <v>0</v>
      </c>
    </row>
    <row r="9" spans="1:6" x14ac:dyDescent="0.25">
      <c r="A9" s="17">
        <v>3</v>
      </c>
      <c r="B9" s="17" t="b">
        <f>AND(B5="10-12",B4="F")</f>
        <v>0</v>
      </c>
      <c r="C9" s="17">
        <f>IF(B9=TRUE,3,0)</f>
        <v>0</v>
      </c>
    </row>
    <row r="10" spans="1:6" x14ac:dyDescent="0.25">
      <c r="A10" s="17">
        <v>4</v>
      </c>
      <c r="B10" s="17" t="b">
        <f>AND(B5="10-12",B4="M")</f>
        <v>0</v>
      </c>
      <c r="C10" s="17">
        <f>IF(B10=TRUE,4,0)</f>
        <v>0</v>
      </c>
    </row>
    <row r="11" spans="1:6" ht="12.75" customHeight="1" x14ac:dyDescent="0.25">
      <c r="A11" s="17">
        <v>5</v>
      </c>
      <c r="B11" s="17" t="b">
        <f>AND(B5="13-16",B4="f")</f>
        <v>0</v>
      </c>
      <c r="C11" s="17">
        <f>IF(B11=TRUE,5,0)</f>
        <v>0</v>
      </c>
      <c r="E11" s="58" t="s">
        <v>126</v>
      </c>
      <c r="F11" s="58"/>
    </row>
    <row r="12" spans="1:6" x14ac:dyDescent="0.25">
      <c r="A12" s="17">
        <v>6</v>
      </c>
      <c r="B12" s="17" t="b">
        <f>AND(B5="13-16",B4="m")</f>
        <v>0</v>
      </c>
      <c r="C12" s="17">
        <f>IF(B12=TRUE,6,0)</f>
        <v>0</v>
      </c>
      <c r="E12" s="58"/>
      <c r="F12" s="58"/>
    </row>
    <row r="13" spans="1:6" x14ac:dyDescent="0.25">
      <c r="A13" s="17">
        <v>7</v>
      </c>
      <c r="B13" s="17" t="b">
        <f>AND(B5="adult",B4="F")</f>
        <v>0</v>
      </c>
      <c r="C13" s="17">
        <f>IF(B13=TRUE,7,0)</f>
        <v>0</v>
      </c>
      <c r="E13" s="58"/>
      <c r="F13" s="58"/>
    </row>
    <row r="14" spans="1:6" x14ac:dyDescent="0.25">
      <c r="A14" s="17">
        <v>8</v>
      </c>
      <c r="B14" s="17" t="b">
        <f>AND(B5="adult",B4="M")</f>
        <v>0</v>
      </c>
      <c r="C14" s="17">
        <f>IF(B14=TRUE,8,0)</f>
        <v>0</v>
      </c>
      <c r="E14" s="58"/>
      <c r="F14" s="58"/>
    </row>
    <row r="15" spans="1:6" x14ac:dyDescent="0.25">
      <c r="A15" s="17">
        <v>9</v>
      </c>
      <c r="B15" s="17" t="b">
        <f>IF(B5="3-4", TRUE, FALSE)</f>
        <v>0</v>
      </c>
      <c r="C15" s="17">
        <f>IF(B15=TRUE,9,0)</f>
        <v>0</v>
      </c>
      <c r="E15" s="58"/>
      <c r="F15" s="58"/>
    </row>
    <row r="16" spans="1:6" x14ac:dyDescent="0.25">
      <c r="A16" s="17"/>
      <c r="B16" s="17" t="s">
        <v>84</v>
      </c>
      <c r="C16" s="17">
        <f>SUM(C7:C15)</f>
        <v>0</v>
      </c>
      <c r="E16" s="58"/>
      <c r="F16" s="58"/>
    </row>
    <row r="17" spans="1:69" x14ac:dyDescent="0.25">
      <c r="A17" s="17"/>
      <c r="B17" s="17"/>
      <c r="C17" s="17"/>
    </row>
    <row r="18" spans="1:69" ht="13.8" thickBot="1" x14ac:dyDescent="0.3">
      <c r="A18" s="17"/>
      <c r="B18" s="17"/>
      <c r="C18" s="51" t="s">
        <v>111</v>
      </c>
      <c r="D18" s="51"/>
      <c r="E18" s="51"/>
      <c r="F18" s="51"/>
    </row>
    <row r="19" spans="1:69" ht="13.8" thickBot="1" x14ac:dyDescent="0.3">
      <c r="A19" s="17"/>
      <c r="B19" s="26"/>
      <c r="C19" s="17"/>
      <c r="D19" s="23" t="s">
        <v>86</v>
      </c>
      <c r="E19" s="24" t="s">
        <v>87</v>
      </c>
      <c r="F19" s="24" t="s">
        <v>88</v>
      </c>
      <c r="G19" s="24" t="s">
        <v>89</v>
      </c>
      <c r="H19" s="24" t="s">
        <v>90</v>
      </c>
      <c r="I19" s="24" t="s">
        <v>91</v>
      </c>
      <c r="J19" s="24" t="s">
        <v>92</v>
      </c>
      <c r="K19" s="24" t="s">
        <v>107</v>
      </c>
      <c r="L19" s="24" t="s">
        <v>93</v>
      </c>
      <c r="M19" s="24" t="s">
        <v>94</v>
      </c>
      <c r="N19" s="24" t="s">
        <v>105</v>
      </c>
      <c r="O19" s="24" t="s">
        <v>106</v>
      </c>
      <c r="P19" s="24" t="s">
        <v>108</v>
      </c>
      <c r="Q19" s="24" t="s">
        <v>109</v>
      </c>
      <c r="R19" s="24" t="s">
        <v>110</v>
      </c>
      <c r="S19" s="24" t="s">
        <v>95</v>
      </c>
      <c r="T19" s="24" t="s">
        <v>96</v>
      </c>
      <c r="U19" s="24" t="s">
        <v>97</v>
      </c>
      <c r="V19" s="24" t="s">
        <v>98</v>
      </c>
      <c r="W19" s="24" t="s">
        <v>99</v>
      </c>
      <c r="X19" s="24" t="s">
        <v>100</v>
      </c>
      <c r="Y19" s="25" t="s">
        <v>35</v>
      </c>
    </row>
    <row r="20" spans="1:69" x14ac:dyDescent="0.25">
      <c r="A20" s="17"/>
      <c r="B20" s="26"/>
      <c r="C20" t="s">
        <v>101</v>
      </c>
      <c r="D20" s="15" t="e">
        <f>CHOOSE($C$16,D29,D32,D35,D38,D41,D44,D47,D50,D53)</f>
        <v>#VALUE!</v>
      </c>
      <c r="E20" s="15" t="e">
        <f t="shared" ref="E20:Y21" si="0">CHOOSE($C$16,E29,E32,E35,E38,E41,E44,E47,E50,E53)</f>
        <v>#VALUE!</v>
      </c>
      <c r="F20" s="15" t="e">
        <f t="shared" si="0"/>
        <v>#VALUE!</v>
      </c>
      <c r="G20" s="15" t="e">
        <f t="shared" si="0"/>
        <v>#VALUE!</v>
      </c>
      <c r="H20" s="15" t="e">
        <f t="shared" si="0"/>
        <v>#VALUE!</v>
      </c>
      <c r="I20" s="15" t="e">
        <f t="shared" si="0"/>
        <v>#VALUE!</v>
      </c>
      <c r="J20" s="15" t="e">
        <f t="shared" si="0"/>
        <v>#VALUE!</v>
      </c>
      <c r="K20" s="15" t="e">
        <f t="shared" si="0"/>
        <v>#VALUE!</v>
      </c>
      <c r="L20" s="15" t="e">
        <f t="shared" si="0"/>
        <v>#VALUE!</v>
      </c>
      <c r="M20" s="15" t="e">
        <f t="shared" si="0"/>
        <v>#VALUE!</v>
      </c>
      <c r="N20" s="15" t="e">
        <f>CHOOSE($C$16,N29,N32,N35,N38,N41,N44,N47,N50,N53)</f>
        <v>#VALUE!</v>
      </c>
      <c r="O20" s="15" t="e">
        <f>CHOOSE($C$16,O29,O32,O35,O38,O41,O44,O47,O50,O53)</f>
        <v>#VALUE!</v>
      </c>
      <c r="P20" s="15" t="e">
        <f>CHOOSE($C$16,P29,P32,P35,P38,P41,P44,P47,P50,P53)</f>
        <v>#VALUE!</v>
      </c>
      <c r="Q20" s="15" t="e">
        <f t="shared" si="0"/>
        <v>#VALUE!</v>
      </c>
      <c r="R20" s="15" t="e">
        <f t="shared" si="0"/>
        <v>#VALUE!</v>
      </c>
      <c r="S20" s="15" t="e">
        <f t="shared" si="0"/>
        <v>#VALUE!</v>
      </c>
      <c r="T20" s="15" t="e">
        <f t="shared" si="0"/>
        <v>#VALUE!</v>
      </c>
      <c r="U20" s="15" t="e">
        <f t="shared" si="0"/>
        <v>#VALUE!</v>
      </c>
      <c r="V20" s="15" t="e">
        <f t="shared" si="0"/>
        <v>#VALUE!</v>
      </c>
      <c r="W20" s="15" t="e">
        <f t="shared" si="0"/>
        <v>#VALUE!</v>
      </c>
      <c r="X20" s="15" t="e">
        <f t="shared" si="0"/>
        <v>#VALUE!</v>
      </c>
      <c r="Y20" s="15" t="e">
        <f t="shared" si="0"/>
        <v>#VALUE!</v>
      </c>
    </row>
    <row r="21" spans="1:69" x14ac:dyDescent="0.25">
      <c r="A21" s="17"/>
      <c r="B21" s="26"/>
      <c r="C21" t="s">
        <v>103</v>
      </c>
      <c r="D21" s="15" t="e">
        <f>CHOOSE($C$16,D30,D33,D36,D39,D42,D45,D48,D51,D54)</f>
        <v>#VALUE!</v>
      </c>
      <c r="E21" s="15" t="e">
        <f t="shared" si="0"/>
        <v>#VALUE!</v>
      </c>
      <c r="F21" s="15" t="e">
        <f t="shared" si="0"/>
        <v>#VALUE!</v>
      </c>
      <c r="G21" s="15" t="e">
        <f t="shared" si="0"/>
        <v>#VALUE!</v>
      </c>
      <c r="H21" s="15" t="e">
        <f t="shared" si="0"/>
        <v>#VALUE!</v>
      </c>
      <c r="I21" s="15" t="e">
        <f t="shared" si="0"/>
        <v>#VALUE!</v>
      </c>
      <c r="J21" s="15" t="e">
        <f t="shared" si="0"/>
        <v>#VALUE!</v>
      </c>
      <c r="K21" s="15" t="e">
        <f t="shared" si="0"/>
        <v>#VALUE!</v>
      </c>
      <c r="L21" s="15" t="e">
        <f t="shared" si="0"/>
        <v>#VALUE!</v>
      </c>
      <c r="M21" s="15" t="e">
        <f t="shared" si="0"/>
        <v>#VALUE!</v>
      </c>
      <c r="N21" s="15" t="e">
        <f>CHOOSE($C$16,N30,N33,N36,N39,N42,N45,N48,N51,N54)</f>
        <v>#VALUE!</v>
      </c>
      <c r="O21" s="15" t="e">
        <f>CHOOSE($C$16,O30,O33,O36,O39,O42,O45,O48,O51,O54)</f>
        <v>#VALUE!</v>
      </c>
      <c r="P21" s="15" t="e">
        <f t="shared" si="0"/>
        <v>#VALUE!</v>
      </c>
      <c r="Q21" s="15" t="e">
        <f t="shared" si="0"/>
        <v>#VALUE!</v>
      </c>
      <c r="R21" s="15" t="e">
        <f t="shared" si="0"/>
        <v>#VALUE!</v>
      </c>
      <c r="S21" s="15" t="e">
        <f t="shared" si="0"/>
        <v>#VALUE!</v>
      </c>
      <c r="T21" s="15" t="e">
        <f t="shared" si="0"/>
        <v>#VALUE!</v>
      </c>
      <c r="U21" s="15" t="e">
        <f t="shared" si="0"/>
        <v>#VALUE!</v>
      </c>
      <c r="V21" s="15" t="e">
        <f t="shared" si="0"/>
        <v>#VALUE!</v>
      </c>
      <c r="W21" s="15" t="e">
        <f t="shared" si="0"/>
        <v>#VALUE!</v>
      </c>
      <c r="X21" s="15" t="e">
        <f t="shared" si="0"/>
        <v>#VALUE!</v>
      </c>
      <c r="Y21" s="15" t="e">
        <f>CHOOSE($C$16,Y30,Y33,Y36,Y39,Y42,Y45,Y48,Y51,Y54)</f>
        <v>#VALUE!</v>
      </c>
    </row>
    <row r="22" spans="1:69" x14ac:dyDescent="0.25">
      <c r="A22" s="17"/>
      <c r="B22" s="26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</row>
    <row r="23" spans="1:69" x14ac:dyDescent="0.25">
      <c r="A23" s="17"/>
      <c r="B23" s="26"/>
      <c r="D23" s="39" t="s">
        <v>127</v>
      </c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</row>
    <row r="24" spans="1:69" x14ac:dyDescent="0.25">
      <c r="A24" s="17"/>
      <c r="B24" s="17"/>
    </row>
    <row r="25" spans="1:69" x14ac:dyDescent="0.25">
      <c r="A25" s="51" t="s">
        <v>71</v>
      </c>
      <c r="B25" s="51"/>
      <c r="C25" s="51"/>
    </row>
    <row r="26" spans="1:69" ht="13.8" thickBot="1" x14ac:dyDescent="0.3"/>
    <row r="27" spans="1:69" ht="13.8" thickBot="1" x14ac:dyDescent="0.3">
      <c r="A27" s="57" t="s">
        <v>72</v>
      </c>
      <c r="B27" s="57"/>
      <c r="D27" s="23" t="s">
        <v>86</v>
      </c>
      <c r="E27" s="24" t="s">
        <v>87</v>
      </c>
      <c r="F27" s="24" t="s">
        <v>88</v>
      </c>
      <c r="G27" s="24" t="s">
        <v>89</v>
      </c>
      <c r="H27" s="24" t="s">
        <v>90</v>
      </c>
      <c r="I27" s="24" t="s">
        <v>91</v>
      </c>
      <c r="J27" s="24" t="s">
        <v>92</v>
      </c>
      <c r="K27" s="24" t="s">
        <v>107</v>
      </c>
      <c r="L27" s="24" t="s">
        <v>93</v>
      </c>
      <c r="M27" s="24" t="s">
        <v>94</v>
      </c>
      <c r="N27" s="24" t="s">
        <v>105</v>
      </c>
      <c r="O27" s="24" t="s">
        <v>106</v>
      </c>
      <c r="P27" s="24" t="s">
        <v>108</v>
      </c>
      <c r="Q27" s="24" t="s">
        <v>109</v>
      </c>
      <c r="R27" s="24" t="s">
        <v>110</v>
      </c>
      <c r="S27" s="24" t="s">
        <v>95</v>
      </c>
      <c r="T27" s="24" t="s">
        <v>96</v>
      </c>
      <c r="U27" s="24" t="s">
        <v>97</v>
      </c>
      <c r="V27" s="24" t="s">
        <v>98</v>
      </c>
      <c r="W27" s="24" t="s">
        <v>99</v>
      </c>
      <c r="X27" s="24" t="s">
        <v>100</v>
      </c>
      <c r="Y27" s="25" t="s">
        <v>35</v>
      </c>
    </row>
    <row r="28" spans="1:69" x14ac:dyDescent="0.25">
      <c r="A28" s="1" t="s">
        <v>73</v>
      </c>
      <c r="B28" s="1" t="s">
        <v>74</v>
      </c>
    </row>
    <row r="29" spans="1:69" x14ac:dyDescent="0.25">
      <c r="A29" s="55">
        <v>1</v>
      </c>
      <c r="B29" s="53" t="s">
        <v>68</v>
      </c>
      <c r="C29" s="31" t="s">
        <v>101</v>
      </c>
      <c r="D29" s="32">
        <v>4.2900181999027636</v>
      </c>
      <c r="E29" s="32">
        <v>5.2980523785481664</v>
      </c>
      <c r="F29" s="32">
        <v>6.4655874330951217</v>
      </c>
      <c r="G29" s="32">
        <v>5.7133886768207827</v>
      </c>
      <c r="H29" s="32">
        <v>6.4416731001601359</v>
      </c>
      <c r="I29" s="32">
        <v>5.3033703462093955</v>
      </c>
      <c r="J29" s="32">
        <v>5.0698559131821685</v>
      </c>
      <c r="K29" s="32">
        <v>2.5675491717845427</v>
      </c>
      <c r="L29" s="32">
        <v>2.9111966995819416</v>
      </c>
      <c r="M29" s="32">
        <v>2.7028816463220977</v>
      </c>
      <c r="N29" s="32">
        <v>3.1817418642188442</v>
      </c>
      <c r="O29" s="32">
        <v>2.9642491250646366</v>
      </c>
      <c r="P29" s="32">
        <v>1.3607159180962169</v>
      </c>
      <c r="Q29" s="32">
        <v>4.8634771702486699</v>
      </c>
      <c r="R29" s="32">
        <v>5.9359934684468927</v>
      </c>
      <c r="S29" s="32">
        <v>6.859540345557309</v>
      </c>
      <c r="T29" s="32">
        <v>5.7441495717603956</v>
      </c>
      <c r="U29" s="32">
        <v>7.5698381798009136</v>
      </c>
      <c r="V29" s="32">
        <v>6.922004941897586</v>
      </c>
      <c r="W29" s="32">
        <v>4.9539008719683428</v>
      </c>
      <c r="X29" s="32">
        <v>5.2678330762676877</v>
      </c>
      <c r="Y29" s="6">
        <v>5.1108669741180153</v>
      </c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</row>
    <row r="30" spans="1:69" x14ac:dyDescent="0.25">
      <c r="A30" s="56"/>
      <c r="B30" s="54"/>
      <c r="C30" s="33" t="s">
        <v>102</v>
      </c>
      <c r="D30" s="34">
        <v>2.4908668655012978</v>
      </c>
      <c r="E30" s="34">
        <v>2.7486123846572106</v>
      </c>
      <c r="F30" s="34">
        <v>1.9945103684871384</v>
      </c>
      <c r="G30" s="34">
        <v>2.150270260817571</v>
      </c>
      <c r="H30" s="34">
        <v>1.8658511668607751</v>
      </c>
      <c r="I30" s="34">
        <v>1.8020271889516282</v>
      </c>
      <c r="J30" s="34">
        <v>2.1810549389779168</v>
      </c>
      <c r="K30" s="34">
        <v>0.77091735750352686</v>
      </c>
      <c r="L30" s="34">
        <v>1.2724187786444878</v>
      </c>
      <c r="M30" s="34">
        <v>1.2977030049850797</v>
      </c>
      <c r="N30" s="34">
        <v>1.3706002547734339</v>
      </c>
      <c r="O30" s="34">
        <v>0.93085872044296847</v>
      </c>
      <c r="P30" s="34">
        <v>1.3607159180962169</v>
      </c>
      <c r="Q30" s="34">
        <v>1.9366373356545461</v>
      </c>
      <c r="R30" s="34">
        <v>3.3217265014906943</v>
      </c>
      <c r="S30" s="34">
        <v>3.5224513796643473</v>
      </c>
      <c r="T30" s="34">
        <v>2.2267409288290483</v>
      </c>
      <c r="U30" s="34">
        <v>3.5298470885558193</v>
      </c>
      <c r="V30" s="34">
        <v>3.7710532676563293</v>
      </c>
      <c r="W30" s="34">
        <v>1.6622732871535972</v>
      </c>
      <c r="X30" s="34">
        <v>1.9897175254513459</v>
      </c>
      <c r="Y30" s="10">
        <v>1.8001779140138696</v>
      </c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</row>
    <row r="31" spans="1:69" x14ac:dyDescent="0.25">
      <c r="A31" s="47"/>
      <c r="B31" s="30"/>
      <c r="C31" s="27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</row>
    <row r="32" spans="1:69" x14ac:dyDescent="0.25">
      <c r="A32" s="55">
        <v>2</v>
      </c>
      <c r="B32" s="53" t="s">
        <v>67</v>
      </c>
      <c r="C32" s="31" t="s">
        <v>101</v>
      </c>
      <c r="D32" s="32">
        <v>3.4652155456071743</v>
      </c>
      <c r="E32" s="32">
        <v>5.4328448606007624</v>
      </c>
      <c r="F32" s="32">
        <v>5.2979764514618903</v>
      </c>
      <c r="G32" s="32">
        <v>4.8639820735250288</v>
      </c>
      <c r="H32" s="32">
        <v>4.0430909160804251</v>
      </c>
      <c r="I32" s="32">
        <v>3.0666221987784947</v>
      </c>
      <c r="J32" s="32">
        <v>3.9774290674327668</v>
      </c>
      <c r="K32" s="32">
        <v>1.8233230938354392</v>
      </c>
      <c r="L32" s="32">
        <v>2.5719317576317917</v>
      </c>
      <c r="M32" s="32">
        <v>3.3025923077586121</v>
      </c>
      <c r="N32" s="32">
        <v>3.2311739158697859</v>
      </c>
      <c r="O32" s="32">
        <v>3.4658266045062973</v>
      </c>
      <c r="P32" s="32">
        <v>1.3139926244829412</v>
      </c>
      <c r="Q32" s="32">
        <v>5.4367215192125506</v>
      </c>
      <c r="R32" s="32">
        <v>5.4019632635797734</v>
      </c>
      <c r="S32" s="32">
        <v>6.5481364944570704</v>
      </c>
      <c r="T32" s="32">
        <v>4.6067817191982972</v>
      </c>
      <c r="U32" s="32">
        <v>6.2006397872407577</v>
      </c>
      <c r="V32" s="32">
        <v>5.5510270224306018</v>
      </c>
      <c r="W32" s="32">
        <v>4.2373095484567624</v>
      </c>
      <c r="X32" s="32">
        <v>4.1490336521394111</v>
      </c>
      <c r="Y32" s="6">
        <v>4.1931716002980872</v>
      </c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9"/>
      <c r="BQ32" s="29"/>
    </row>
    <row r="33" spans="1:69" x14ac:dyDescent="0.25">
      <c r="A33" s="56"/>
      <c r="B33" s="54"/>
      <c r="C33" s="33" t="s">
        <v>102</v>
      </c>
      <c r="D33" s="34">
        <v>2.9904643750782829</v>
      </c>
      <c r="E33" s="34">
        <v>4.7784161075520082</v>
      </c>
      <c r="F33" s="34">
        <v>3.2965868393763702</v>
      </c>
      <c r="G33" s="34">
        <v>1.9152732553667444</v>
      </c>
      <c r="H33" s="34">
        <v>1.2112841642695162</v>
      </c>
      <c r="I33" s="34">
        <v>0.79756827168486</v>
      </c>
      <c r="J33" s="34">
        <v>1.1794563610394433</v>
      </c>
      <c r="K33" s="34">
        <v>0.71090980001926107</v>
      </c>
      <c r="L33" s="34">
        <v>0.55244896831356582</v>
      </c>
      <c r="M33" s="34">
        <v>1.2353792420578393</v>
      </c>
      <c r="N33" s="34">
        <v>1.2027584046636073</v>
      </c>
      <c r="O33" s="34">
        <v>1.6654399929246568</v>
      </c>
      <c r="P33" s="34">
        <v>1.3139926244829412</v>
      </c>
      <c r="Q33" s="34">
        <v>2.0388091158637822</v>
      </c>
      <c r="R33" s="34">
        <v>3.5208105271696932</v>
      </c>
      <c r="S33" s="34">
        <v>3.7922380642007729</v>
      </c>
      <c r="T33" s="34">
        <v>1.9035160603264158</v>
      </c>
      <c r="U33" s="34">
        <v>3.5266641044079514</v>
      </c>
      <c r="V33" s="34">
        <v>4.171032984445894</v>
      </c>
      <c r="W33" s="34">
        <v>1.5976708019758699</v>
      </c>
      <c r="X33" s="34">
        <v>1.0175895391342595</v>
      </c>
      <c r="Y33" s="10">
        <v>1.3107449073826958</v>
      </c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</row>
    <row r="34" spans="1:69" x14ac:dyDescent="0.25">
      <c r="A34" s="47"/>
      <c r="B34" s="30"/>
      <c r="C34" s="27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9"/>
      <c r="BQ34" s="29"/>
    </row>
    <row r="35" spans="1:69" x14ac:dyDescent="0.25">
      <c r="A35" s="55">
        <v>3</v>
      </c>
      <c r="B35" s="53" t="s">
        <v>65</v>
      </c>
      <c r="C35" s="31" t="s">
        <v>101</v>
      </c>
      <c r="D35" s="32">
        <v>5.7277062057455925</v>
      </c>
      <c r="E35" s="32">
        <v>5.6494881622068114</v>
      </c>
      <c r="F35" s="32">
        <v>7.7636761595754793</v>
      </c>
      <c r="G35" s="32">
        <v>4.0115926324824898</v>
      </c>
      <c r="H35" s="32">
        <v>5.2145445540786746</v>
      </c>
      <c r="I35" s="32">
        <v>3.7681859668542241</v>
      </c>
      <c r="J35" s="32">
        <v>3.7015023829380134</v>
      </c>
      <c r="K35" s="32">
        <v>1.667385980030994</v>
      </c>
      <c r="L35" s="32">
        <v>2.3063662425264169</v>
      </c>
      <c r="M35" s="32">
        <v>1.8981756978182982</v>
      </c>
      <c r="N35" s="32">
        <v>2.0171774052661076</v>
      </c>
      <c r="O35" s="32">
        <v>2.4726192424593432</v>
      </c>
      <c r="P35" s="32">
        <v>1.268079624512787</v>
      </c>
      <c r="Q35" s="32">
        <v>4.6810510070442328</v>
      </c>
      <c r="R35" s="32">
        <v>4.3571409693155312</v>
      </c>
      <c r="S35" s="32">
        <v>4.9610861532679635</v>
      </c>
      <c r="T35" s="32">
        <v>4.5938926449927786</v>
      </c>
      <c r="U35" s="32">
        <v>5.7578767423784107</v>
      </c>
      <c r="V35" s="32">
        <v>4.3727408653578719</v>
      </c>
      <c r="W35" s="32">
        <v>4.090687671349845</v>
      </c>
      <c r="X35" s="32">
        <v>4.3733187521586734</v>
      </c>
      <c r="Y35" s="6">
        <v>4.2320032117542592</v>
      </c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</row>
    <row r="36" spans="1:69" x14ac:dyDescent="0.25">
      <c r="A36" s="56"/>
      <c r="B36" s="54"/>
      <c r="C36" s="33" t="s">
        <v>102</v>
      </c>
      <c r="D36" s="34">
        <v>2.4467390317967648</v>
      </c>
      <c r="E36" s="34">
        <v>3.3360867227852031</v>
      </c>
      <c r="F36" s="34">
        <v>2.9579958121523702</v>
      </c>
      <c r="G36" s="34">
        <v>1.5249480191844751</v>
      </c>
      <c r="H36" s="34">
        <v>1.0126410286119123</v>
      </c>
      <c r="I36" s="34">
        <v>1.8524749625474737</v>
      </c>
      <c r="J36" s="34">
        <v>1.6060781432150713</v>
      </c>
      <c r="K36" s="34">
        <v>0.24026908270104569</v>
      </c>
      <c r="L36" s="34">
        <v>0.58356149910114563</v>
      </c>
      <c r="M36" s="34">
        <v>0.80633683142950063</v>
      </c>
      <c r="N36" s="34">
        <v>0.67227595718042166</v>
      </c>
      <c r="O36" s="34">
        <v>0.9951843610809894</v>
      </c>
      <c r="P36" s="34">
        <v>1.268079624512787</v>
      </c>
      <c r="Q36" s="34">
        <v>1.877794582211739</v>
      </c>
      <c r="R36" s="34">
        <v>0.74693749603752968</v>
      </c>
      <c r="S36" s="34">
        <v>3.1272172046899165</v>
      </c>
      <c r="T36" s="34">
        <v>1.132312998620272</v>
      </c>
      <c r="U36" s="34">
        <v>2.6214972727466423</v>
      </c>
      <c r="V36" s="34">
        <v>1.5596688012245297</v>
      </c>
      <c r="W36" s="34">
        <v>1.3362131482988509</v>
      </c>
      <c r="X36" s="34">
        <v>2.0345022526449767</v>
      </c>
      <c r="Y36" s="10">
        <v>1.6894892062882239</v>
      </c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</row>
    <row r="37" spans="1:69" x14ac:dyDescent="0.25">
      <c r="A37" s="47"/>
      <c r="B37" s="30"/>
      <c r="C37" s="27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</row>
    <row r="38" spans="1:69" x14ac:dyDescent="0.25">
      <c r="A38" s="55">
        <v>4</v>
      </c>
      <c r="B38" s="53" t="s">
        <v>66</v>
      </c>
      <c r="C38" s="31" t="s">
        <v>101</v>
      </c>
      <c r="D38" s="32">
        <v>3.7374752352045997</v>
      </c>
      <c r="E38" s="32">
        <v>5.2919633474230547</v>
      </c>
      <c r="F38" s="32">
        <v>3.833153187930102</v>
      </c>
      <c r="G38" s="32">
        <v>5.129035595156223</v>
      </c>
      <c r="H38" s="32">
        <v>3.8001269153770787</v>
      </c>
      <c r="I38" s="32">
        <v>3.4106912078510403</v>
      </c>
      <c r="J38" s="32">
        <v>3.5950307673112905</v>
      </c>
      <c r="K38" s="32">
        <v>2.0847641844933218</v>
      </c>
      <c r="L38" s="32">
        <v>2.6254759649700028</v>
      </c>
      <c r="M38" s="32">
        <v>3.2838521739546871</v>
      </c>
      <c r="N38" s="32">
        <v>2.5056921646357124</v>
      </c>
      <c r="O38" s="32">
        <v>2.2417289459710776</v>
      </c>
      <c r="P38" s="32">
        <v>1.241146738889459</v>
      </c>
      <c r="Q38" s="32">
        <v>4.7476235899702575</v>
      </c>
      <c r="R38" s="32">
        <v>4.484723789702679</v>
      </c>
      <c r="S38" s="32">
        <v>6.07221384318711</v>
      </c>
      <c r="T38" s="32">
        <v>7.3498256603543242</v>
      </c>
      <c r="U38" s="32">
        <v>6.7045277119490816</v>
      </c>
      <c r="V38" s="32">
        <v>5.3722262761410722</v>
      </c>
      <c r="W38" s="32">
        <v>4.4335243776171112</v>
      </c>
      <c r="X38" s="32">
        <v>4.0645537407322001</v>
      </c>
      <c r="Y38" s="6">
        <v>4.2490390591746552</v>
      </c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/>
    </row>
    <row r="39" spans="1:69" x14ac:dyDescent="0.25">
      <c r="A39" s="56"/>
      <c r="B39" s="54"/>
      <c r="C39" s="33" t="s">
        <v>102</v>
      </c>
      <c r="D39" s="34">
        <v>1.7424577124989153</v>
      </c>
      <c r="E39" s="34">
        <v>2.5317482827799571</v>
      </c>
      <c r="F39" s="34">
        <v>1.3368485163781501</v>
      </c>
      <c r="G39" s="34">
        <v>1.2097953156477261</v>
      </c>
      <c r="H39" s="34">
        <v>0.94137370086191363</v>
      </c>
      <c r="I39" s="34">
        <v>1.338562113316393</v>
      </c>
      <c r="J39" s="34">
        <v>2.4458980821165754</v>
      </c>
      <c r="K39" s="34">
        <v>0.81379880350446121</v>
      </c>
      <c r="L39" s="34">
        <v>1.419445261421302</v>
      </c>
      <c r="M39" s="34">
        <v>1.3350824582987157</v>
      </c>
      <c r="N39" s="34">
        <v>0.86272758142849593</v>
      </c>
      <c r="O39" s="34">
        <v>0.91246833703601005</v>
      </c>
      <c r="P39" s="34">
        <v>1.241146738889459</v>
      </c>
      <c r="Q39" s="34">
        <v>1.1826948568011297</v>
      </c>
      <c r="R39" s="34">
        <v>2.0378016339249547</v>
      </c>
      <c r="S39" s="34">
        <v>2.9740490959198538</v>
      </c>
      <c r="T39" s="34">
        <v>3.4203973881694552</v>
      </c>
      <c r="U39" s="34">
        <v>1.8520095124720544</v>
      </c>
      <c r="V39" s="34">
        <v>2.3842884585059876</v>
      </c>
      <c r="W39" s="34">
        <v>1.7671028748484154</v>
      </c>
      <c r="X39" s="34">
        <v>1.3848982459154573</v>
      </c>
      <c r="Y39" s="10">
        <v>1.5640442132846177</v>
      </c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</row>
    <row r="40" spans="1:69" x14ac:dyDescent="0.25">
      <c r="A40" s="47"/>
      <c r="B40" s="30"/>
      <c r="C40" s="27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</row>
    <row r="41" spans="1:69" x14ac:dyDescent="0.25">
      <c r="A41" s="55">
        <v>5</v>
      </c>
      <c r="B41" s="53" t="s">
        <v>51</v>
      </c>
      <c r="C41" s="31" t="s">
        <v>101</v>
      </c>
      <c r="D41" s="32">
        <v>4.5465280566985893</v>
      </c>
      <c r="E41" s="32">
        <v>5.395076510865521</v>
      </c>
      <c r="F41" s="32">
        <v>5.7765475820935279</v>
      </c>
      <c r="G41" s="32">
        <v>3.6863291222988637</v>
      </c>
      <c r="H41" s="32">
        <v>4.7069316133099885</v>
      </c>
      <c r="I41" s="32">
        <v>3.3642438707456956</v>
      </c>
      <c r="J41" s="32">
        <v>3.0117942589854727</v>
      </c>
      <c r="K41" s="32">
        <v>1.8646740900765522</v>
      </c>
      <c r="L41" s="32">
        <v>2.3460922712493129</v>
      </c>
      <c r="M41" s="32">
        <v>2.3522064891272385</v>
      </c>
      <c r="N41" s="32">
        <v>3.0774915900309572</v>
      </c>
      <c r="O41" s="32">
        <v>1.6086456410788719</v>
      </c>
      <c r="P41" s="32">
        <v>0.93922779554391189</v>
      </c>
      <c r="Q41" s="32">
        <v>6.3829266321333016</v>
      </c>
      <c r="R41" s="32">
        <v>5.3277405957735722</v>
      </c>
      <c r="S41" s="32">
        <v>4.3814613709294781</v>
      </c>
      <c r="T41" s="32">
        <v>5.0660308825001854</v>
      </c>
      <c r="U41" s="32">
        <v>7.2683494114350919</v>
      </c>
      <c r="V41" s="32">
        <v>5.7395499406044399</v>
      </c>
      <c r="W41" s="32">
        <v>4.341389017023416</v>
      </c>
      <c r="X41" s="32">
        <v>4.0135111408150888</v>
      </c>
      <c r="Y41" s="6">
        <v>4.1774500789192519</v>
      </c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</row>
    <row r="42" spans="1:69" x14ac:dyDescent="0.25">
      <c r="A42" s="56"/>
      <c r="B42" s="54"/>
      <c r="C42" s="33" t="s">
        <v>102</v>
      </c>
      <c r="D42" s="34">
        <v>3.5096932724925409</v>
      </c>
      <c r="E42" s="34">
        <v>5.2843998248151474</v>
      </c>
      <c r="F42" s="34">
        <v>3.074742113077725</v>
      </c>
      <c r="G42" s="34">
        <v>1.5648860167945307</v>
      </c>
      <c r="H42" s="34">
        <v>2.0563164930725741</v>
      </c>
      <c r="I42" s="34">
        <v>1.0935002491308961</v>
      </c>
      <c r="J42" s="34">
        <v>1.0697841768685397</v>
      </c>
      <c r="K42" s="34">
        <v>0.6793043250919848</v>
      </c>
      <c r="L42" s="34">
        <v>0.92638175448786864</v>
      </c>
      <c r="M42" s="34">
        <v>0.80717630037095334</v>
      </c>
      <c r="N42" s="34">
        <v>1.4193282318926348</v>
      </c>
      <c r="O42" s="34">
        <v>0.39112881264612837</v>
      </c>
      <c r="P42" s="34">
        <v>0.93922779554391189</v>
      </c>
      <c r="Q42" s="34">
        <v>1.6137052218234789</v>
      </c>
      <c r="R42" s="34">
        <v>1.4239477896429253</v>
      </c>
      <c r="S42" s="34">
        <v>2.7662865377674857</v>
      </c>
      <c r="T42" s="34">
        <v>2.156658292895004</v>
      </c>
      <c r="U42" s="34">
        <v>4.69958722595773</v>
      </c>
      <c r="V42" s="34">
        <v>2.583318214223981</v>
      </c>
      <c r="W42" s="34">
        <v>1.7239465859112892</v>
      </c>
      <c r="X42" s="34">
        <v>1.5788597146748244</v>
      </c>
      <c r="Y42" s="10">
        <v>1.6253121644902853</v>
      </c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</row>
    <row r="43" spans="1:69" x14ac:dyDescent="0.25">
      <c r="A43" s="47"/>
      <c r="B43" s="30"/>
      <c r="C43" s="27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</row>
    <row r="44" spans="1:69" x14ac:dyDescent="0.25">
      <c r="A44" s="55">
        <v>6</v>
      </c>
      <c r="B44" s="53" t="s">
        <v>64</v>
      </c>
      <c r="C44" s="31" t="s">
        <v>101</v>
      </c>
      <c r="D44" s="32">
        <v>3.9918236294169942</v>
      </c>
      <c r="E44" s="32">
        <v>7.3092327867343814</v>
      </c>
      <c r="F44" s="32">
        <v>3.6149789902239822</v>
      </c>
      <c r="G44" s="32">
        <v>4.7887557731971029</v>
      </c>
      <c r="H44" s="32">
        <v>3.9490547744363447</v>
      </c>
      <c r="I44" s="32">
        <v>3.146086223377746</v>
      </c>
      <c r="J44" s="32">
        <v>2.8524870573958547</v>
      </c>
      <c r="K44" s="32">
        <v>1.495572897027732</v>
      </c>
      <c r="L44" s="32">
        <v>2.9931716390199719</v>
      </c>
      <c r="M44" s="32">
        <v>1.7600273581805881</v>
      </c>
      <c r="N44" s="32">
        <v>3.3716733476476684</v>
      </c>
      <c r="O44" s="32">
        <v>2.6171828250346558</v>
      </c>
      <c r="P44" s="32">
        <v>0.62332272320062487</v>
      </c>
      <c r="Q44" s="32">
        <v>5.6513750758731174</v>
      </c>
      <c r="R44" s="32">
        <v>5.6394919207641783</v>
      </c>
      <c r="S44" s="32">
        <v>4.4785706553437716</v>
      </c>
      <c r="T44" s="32">
        <v>4.5508550753116834</v>
      </c>
      <c r="U44" s="32">
        <v>4.2586741437058118</v>
      </c>
      <c r="V44" s="32">
        <v>5.3541220393004183</v>
      </c>
      <c r="W44" s="32">
        <v>4.3151875903849284</v>
      </c>
      <c r="X44" s="32">
        <v>3.5512980946328181</v>
      </c>
      <c r="Y44" s="6">
        <v>3.9332428425088746</v>
      </c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</row>
    <row r="45" spans="1:69" x14ac:dyDescent="0.25">
      <c r="A45" s="56"/>
      <c r="B45" s="54"/>
      <c r="C45" s="33" t="s">
        <v>102</v>
      </c>
      <c r="D45" s="34">
        <v>2.5872801679435278</v>
      </c>
      <c r="E45" s="34">
        <v>4.7343920474999939</v>
      </c>
      <c r="F45" s="34">
        <v>1.5637678625076639</v>
      </c>
      <c r="G45" s="34">
        <v>1.8973999380464512</v>
      </c>
      <c r="H45" s="34">
        <v>1.9923618803423788</v>
      </c>
      <c r="I45" s="34">
        <v>0.44191593509673682</v>
      </c>
      <c r="J45" s="34">
        <v>1.017975155961133</v>
      </c>
      <c r="K45" s="34">
        <v>0.74333135233306813</v>
      </c>
      <c r="L45" s="34">
        <v>1.2528371858338654</v>
      </c>
      <c r="M45" s="34">
        <v>0.50600040751412267</v>
      </c>
      <c r="N45" s="34">
        <v>1.4054261166084221</v>
      </c>
      <c r="O45" s="34">
        <v>1.5103750354332088</v>
      </c>
      <c r="P45" s="34">
        <v>0.62332272320062487</v>
      </c>
      <c r="Q45" s="34">
        <v>0.79971613877765113</v>
      </c>
      <c r="R45" s="34">
        <v>3.5409472675758376</v>
      </c>
      <c r="S45" s="34">
        <v>1.931395552349235</v>
      </c>
      <c r="T45" s="34">
        <v>2.6670639094597171</v>
      </c>
      <c r="U45" s="34">
        <v>2.9603887850750499</v>
      </c>
      <c r="V45" s="34">
        <v>2.3134089338549644</v>
      </c>
      <c r="W45" s="34">
        <v>1.6168271307261981</v>
      </c>
      <c r="X45" s="34">
        <v>1.5220820495475365</v>
      </c>
      <c r="Y45" s="10">
        <v>1.5844442732884465</v>
      </c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</row>
    <row r="46" spans="1:69" x14ac:dyDescent="0.25">
      <c r="A46" s="47"/>
      <c r="B46" s="30"/>
      <c r="C46" s="27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</row>
    <row r="47" spans="1:69" x14ac:dyDescent="0.25">
      <c r="A47" s="55">
        <v>7</v>
      </c>
      <c r="B47" s="53" t="s">
        <v>76</v>
      </c>
      <c r="C47" s="31" t="s">
        <v>101</v>
      </c>
      <c r="D47" s="32">
        <v>2.4504107273918398</v>
      </c>
      <c r="E47" s="32">
        <v>4.2929199753859049</v>
      </c>
      <c r="F47" s="32">
        <v>4.1733206191519212</v>
      </c>
      <c r="G47" s="32">
        <v>4.5029641745856219</v>
      </c>
      <c r="H47" s="32">
        <v>3.9580256732669978</v>
      </c>
      <c r="I47" s="32">
        <v>4.2482212102371442</v>
      </c>
      <c r="J47" s="32">
        <v>2.7662810600439234</v>
      </c>
      <c r="K47" s="32">
        <v>1.9146376201884965</v>
      </c>
      <c r="L47" s="32">
        <v>3.1975244790848913</v>
      </c>
      <c r="M47" s="32">
        <v>3.0281303976670708</v>
      </c>
      <c r="N47" s="32">
        <v>2.5197973093655897</v>
      </c>
      <c r="O47" s="32">
        <v>2.6598911982652558</v>
      </c>
      <c r="P47" s="32">
        <v>1.4116184426551948</v>
      </c>
      <c r="Q47" s="32">
        <v>5.4846670769299717</v>
      </c>
      <c r="R47" s="32">
        <v>4.4412361668472737</v>
      </c>
      <c r="S47" s="32">
        <v>5.4005718943552097</v>
      </c>
      <c r="T47" s="32">
        <v>5.6587551599533423</v>
      </c>
      <c r="U47" s="32">
        <v>5.8035983047932209</v>
      </c>
      <c r="V47" s="32">
        <v>6.1575811860949008</v>
      </c>
      <c r="W47" s="32">
        <v>4.0193687115164032</v>
      </c>
      <c r="X47" s="32">
        <v>3.7690227204862397</v>
      </c>
      <c r="Y47" s="6">
        <v>3.8941957160013216</v>
      </c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</row>
    <row r="48" spans="1:69" x14ac:dyDescent="0.25">
      <c r="A48" s="56"/>
      <c r="B48" s="54"/>
      <c r="C48" s="33" t="s">
        <v>102</v>
      </c>
      <c r="D48" s="34">
        <v>1.5015472353251256</v>
      </c>
      <c r="E48" s="34">
        <v>2.0053675344100932</v>
      </c>
      <c r="F48" s="34">
        <v>1.6586829957448108</v>
      </c>
      <c r="G48" s="34">
        <v>1.3428616374766202</v>
      </c>
      <c r="H48" s="34">
        <v>1.3683818856960679</v>
      </c>
      <c r="I48" s="34">
        <v>1.4368276181848056</v>
      </c>
      <c r="J48" s="34">
        <v>0.95280104965925649</v>
      </c>
      <c r="K48" s="34">
        <v>0.90835687172095303</v>
      </c>
      <c r="L48" s="34">
        <v>1.1323259844205054</v>
      </c>
      <c r="M48" s="34">
        <v>1.5617803998132493</v>
      </c>
      <c r="N48" s="34">
        <v>1.1419583769650514</v>
      </c>
      <c r="O48" s="34">
        <v>1.1433514009507446</v>
      </c>
      <c r="P48" s="34">
        <v>1.4116184426551948</v>
      </c>
      <c r="Q48" s="34">
        <v>2.2651687818279989</v>
      </c>
      <c r="R48" s="34">
        <v>1.3763039755057656</v>
      </c>
      <c r="S48" s="34">
        <v>1.9075820389585016</v>
      </c>
      <c r="T48" s="34">
        <v>1.6789243555730704</v>
      </c>
      <c r="U48" s="34">
        <v>2.5093143366391946</v>
      </c>
      <c r="V48" s="34">
        <v>2.6521624323700546</v>
      </c>
      <c r="W48" s="34">
        <v>1.3202137888598733</v>
      </c>
      <c r="X48" s="34">
        <v>1.4062046808040525</v>
      </c>
      <c r="Y48" s="10">
        <v>1.3400223111392089</v>
      </c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</row>
    <row r="49" spans="1:69" x14ac:dyDescent="0.25">
      <c r="A49" s="47"/>
      <c r="B49" s="30"/>
      <c r="C49" s="27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</row>
    <row r="50" spans="1:69" x14ac:dyDescent="0.25">
      <c r="A50" s="55">
        <v>8</v>
      </c>
      <c r="B50" s="53" t="s">
        <v>75</v>
      </c>
      <c r="C50" s="31" t="s">
        <v>101</v>
      </c>
      <c r="D50" s="32">
        <v>2.462912003002649</v>
      </c>
      <c r="E50" s="32">
        <v>4.2795004079406906</v>
      </c>
      <c r="F50" s="32">
        <v>3.7665130438221182</v>
      </c>
      <c r="G50" s="32">
        <v>3.9378459983301526</v>
      </c>
      <c r="H50" s="32">
        <v>3.3982533980339396</v>
      </c>
      <c r="I50" s="32">
        <v>3.2100437827357182</v>
      </c>
      <c r="J50" s="32">
        <v>2.6332782759790385</v>
      </c>
      <c r="K50" s="32">
        <v>1.9457643490773289</v>
      </c>
      <c r="L50" s="32">
        <v>2.2368511140493301</v>
      </c>
      <c r="M50" s="32">
        <v>2.4056293085785656</v>
      </c>
      <c r="N50" s="32">
        <v>2.3903786950001438</v>
      </c>
      <c r="O50" s="32">
        <v>2.2267342922661197</v>
      </c>
      <c r="P50" s="32">
        <v>0.80298338289571047</v>
      </c>
      <c r="Q50" s="32">
        <v>4.939086638615799</v>
      </c>
      <c r="R50" s="32">
        <v>5.9230494461624472</v>
      </c>
      <c r="S50" s="32">
        <v>5.3291492293657985</v>
      </c>
      <c r="T50" s="32">
        <v>4.624383860017387</v>
      </c>
      <c r="U50" s="32">
        <v>4.3146616636555262</v>
      </c>
      <c r="V50" s="32">
        <v>5.6082167099457179</v>
      </c>
      <c r="W50" s="32">
        <v>3.6085654608681565</v>
      </c>
      <c r="X50" s="32">
        <v>3.5199039134222976</v>
      </c>
      <c r="Y50" s="6">
        <v>3.5642346871452282</v>
      </c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</row>
    <row r="51" spans="1:69" x14ac:dyDescent="0.25">
      <c r="A51" s="56"/>
      <c r="B51" s="54"/>
      <c r="C51" s="33" t="s">
        <v>102</v>
      </c>
      <c r="D51" s="34">
        <v>1.4007195560858317</v>
      </c>
      <c r="E51" s="34">
        <v>1.5955993839733742</v>
      </c>
      <c r="F51" s="34">
        <v>1.926957441093472</v>
      </c>
      <c r="G51" s="34">
        <v>1.3387003295972399</v>
      </c>
      <c r="H51" s="34">
        <v>0.89905121292586354</v>
      </c>
      <c r="I51" s="34">
        <v>1.4104305132572565</v>
      </c>
      <c r="J51" s="34">
        <v>0.99870235312749167</v>
      </c>
      <c r="K51" s="34">
        <v>0.91557272173651172</v>
      </c>
      <c r="L51" s="34">
        <v>0.99672208281209174</v>
      </c>
      <c r="M51" s="34">
        <v>0.97383219449281067</v>
      </c>
      <c r="N51" s="34">
        <v>1.0277205797962539</v>
      </c>
      <c r="O51" s="34">
        <v>0.69827733311429663</v>
      </c>
      <c r="P51" s="34">
        <v>0.80298338289571047</v>
      </c>
      <c r="Q51" s="34">
        <v>2.190261801346391</v>
      </c>
      <c r="R51" s="34">
        <v>2.6079401935161322</v>
      </c>
      <c r="S51" s="34">
        <v>2.1396264114292483</v>
      </c>
      <c r="T51" s="34">
        <v>1.6619141608070098</v>
      </c>
      <c r="U51" s="34">
        <v>2.3601574891194876</v>
      </c>
      <c r="V51" s="34">
        <v>2.559679075995374</v>
      </c>
      <c r="W51" s="34">
        <v>1.2837141833076262</v>
      </c>
      <c r="X51" s="34">
        <v>1.4012198108414005</v>
      </c>
      <c r="Y51" s="10">
        <v>1.3149953696378736</v>
      </c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</row>
    <row r="52" spans="1:69" x14ac:dyDescent="0.25">
      <c r="A52" s="48"/>
      <c r="B52" s="29"/>
      <c r="C52" s="27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</row>
    <row r="53" spans="1:69" x14ac:dyDescent="0.25">
      <c r="A53" s="55">
        <v>9</v>
      </c>
      <c r="B53" s="53" t="s">
        <v>85</v>
      </c>
      <c r="C53" s="31" t="s">
        <v>101</v>
      </c>
      <c r="D53" s="32">
        <v>6.0762057019483189</v>
      </c>
      <c r="E53" s="32">
        <v>7.6285380168893608</v>
      </c>
      <c r="F53" s="32">
        <v>6.6151897899241758</v>
      </c>
      <c r="G53" s="32">
        <v>7.4483968709535251</v>
      </c>
      <c r="H53" s="32">
        <v>7.8657013886464782</v>
      </c>
      <c r="I53" s="32">
        <v>5.6052966759899956</v>
      </c>
      <c r="J53" s="32">
        <v>4.8532832496013851</v>
      </c>
      <c r="K53" s="32">
        <v>3.1903065649052174</v>
      </c>
      <c r="L53" s="32">
        <v>5.1655149115764125</v>
      </c>
      <c r="M53" s="32">
        <v>3.6307874251215346</v>
      </c>
      <c r="N53" s="35">
        <v>4.2097387294979782</v>
      </c>
      <c r="O53" s="35">
        <v>4.3132389081163707</v>
      </c>
      <c r="P53" s="32">
        <v>1.7380352393896024</v>
      </c>
      <c r="Q53" s="32">
        <v>9.4675494387052304</v>
      </c>
      <c r="R53" s="32">
        <v>6.3636950721295511</v>
      </c>
      <c r="S53" s="32">
        <v>8.1885336954086387</v>
      </c>
      <c r="T53" s="32">
        <v>8.3434216151211853</v>
      </c>
      <c r="U53" s="32">
        <v>5.1770802404001683</v>
      </c>
      <c r="V53" s="32">
        <v>4.6355612677474571</v>
      </c>
      <c r="W53" s="32">
        <v>6.1029648020579819</v>
      </c>
      <c r="X53" s="32">
        <v>5.8914762542164922</v>
      </c>
      <c r="Y53" s="6">
        <v>5.9972205281372348</v>
      </c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</row>
    <row r="54" spans="1:69" x14ac:dyDescent="0.25">
      <c r="A54" s="56"/>
      <c r="B54" s="54"/>
      <c r="C54" s="33" t="s">
        <v>102</v>
      </c>
      <c r="D54" s="34">
        <v>2.577486311316421</v>
      </c>
      <c r="E54" s="34">
        <v>3.1074299646653492</v>
      </c>
      <c r="F54" s="34">
        <v>3.603378536803032</v>
      </c>
      <c r="G54" s="34">
        <v>0.7665005290354836</v>
      </c>
      <c r="H54" s="34">
        <v>2.5595461776197892</v>
      </c>
      <c r="I54" s="34">
        <v>1.8161542497219891</v>
      </c>
      <c r="J54" s="34">
        <v>2.0187925380590204</v>
      </c>
      <c r="K54" s="34">
        <v>1.4736385322986183</v>
      </c>
      <c r="L54" s="34">
        <v>1.8229357372272019</v>
      </c>
      <c r="M54" s="34">
        <v>1.022822775195644</v>
      </c>
      <c r="N54" s="36">
        <v>1.4897378356304518</v>
      </c>
      <c r="O54" s="36">
        <v>1.584791769281312</v>
      </c>
      <c r="P54" s="34">
        <v>1.7380352393896024</v>
      </c>
      <c r="Q54" s="34">
        <v>2.5143628368156481</v>
      </c>
      <c r="R54" s="34">
        <v>1.7336355988582259</v>
      </c>
      <c r="S54" s="34">
        <v>3.6195955828794082</v>
      </c>
      <c r="T54" s="34">
        <v>3.6810888639405173</v>
      </c>
      <c r="U54" s="34">
        <v>1.5511081423567887</v>
      </c>
      <c r="V54" s="34">
        <v>2.161989351078569</v>
      </c>
      <c r="W54" s="34">
        <v>1.7394833546870656</v>
      </c>
      <c r="X54" s="34">
        <v>2.2737488575628979</v>
      </c>
      <c r="Y54" s="10">
        <v>1.9827677485594253</v>
      </c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</row>
    <row r="55" spans="1:69" x14ac:dyDescent="0.2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</row>
    <row r="57" spans="1:69" x14ac:dyDescent="0.25">
      <c r="A57" s="26"/>
      <c r="B57" s="26"/>
    </row>
    <row r="58" spans="1:69" x14ac:dyDescent="0.25">
      <c r="A58" s="29"/>
      <c r="B58" s="29"/>
    </row>
  </sheetData>
  <mergeCells count="23">
    <mergeCell ref="E11:F16"/>
    <mergeCell ref="A35:A36"/>
    <mergeCell ref="B35:B36"/>
    <mergeCell ref="C18:F18"/>
    <mergeCell ref="A1:C1"/>
    <mergeCell ref="B29:B30"/>
    <mergeCell ref="B32:B33"/>
    <mergeCell ref="B53:B54"/>
    <mergeCell ref="A53:A54"/>
    <mergeCell ref="A25:C25"/>
    <mergeCell ref="A27:B27"/>
    <mergeCell ref="A29:A30"/>
    <mergeCell ref="B47:B48"/>
    <mergeCell ref="B50:B51"/>
    <mergeCell ref="A47:A48"/>
    <mergeCell ref="A32:A33"/>
    <mergeCell ref="A50:A51"/>
    <mergeCell ref="A44:A45"/>
    <mergeCell ref="A38:A39"/>
    <mergeCell ref="B38:B39"/>
    <mergeCell ref="A41:A42"/>
    <mergeCell ref="B41:B42"/>
    <mergeCell ref="B44:B45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153"/>
  <sheetViews>
    <sheetView topLeftCell="A43" workbookViewId="0">
      <selection activeCell="F38" sqref="F38"/>
    </sheetView>
  </sheetViews>
  <sheetFormatPr defaultRowHeight="13.2" x14ac:dyDescent="0.25"/>
  <cols>
    <col min="1" max="1" width="10.33203125" bestFit="1" customWidth="1"/>
    <col min="2" max="2" width="22.44140625" bestFit="1" customWidth="1"/>
    <col min="3" max="3" width="26.44140625" bestFit="1" customWidth="1"/>
  </cols>
  <sheetData>
    <row r="1" spans="1:3" x14ac:dyDescent="0.25">
      <c r="A1" s="51" t="s">
        <v>77</v>
      </c>
      <c r="B1" s="51"/>
      <c r="C1" s="51"/>
    </row>
    <row r="2" spans="1:3" x14ac:dyDescent="0.25">
      <c r="A2" s="17"/>
      <c r="B2" s="17"/>
      <c r="C2" s="17"/>
    </row>
    <row r="3" spans="1:3" x14ac:dyDescent="0.25">
      <c r="A3" s="17" t="s">
        <v>78</v>
      </c>
      <c r="B3" s="17" t="str">
        <f>Current!B14</f>
        <v>?</v>
      </c>
      <c r="C3" s="22" t="s">
        <v>81</v>
      </c>
    </row>
    <row r="4" spans="1:3" x14ac:dyDescent="0.25">
      <c r="A4" s="17" t="s">
        <v>79</v>
      </c>
      <c r="B4" s="17" t="str">
        <f>Current!E14</f>
        <v>?</v>
      </c>
      <c r="C4" s="22" t="s">
        <v>81</v>
      </c>
    </row>
    <row r="5" spans="1:3" x14ac:dyDescent="0.25">
      <c r="A5" s="17" t="s">
        <v>80</v>
      </c>
      <c r="B5" s="17" t="str">
        <f>IF(B3&lt;5, "3-4", IF(B3&lt;8,"5-7",IF(B3&lt;10,"8-9",IF(B3&lt;13,"10-12",IF(B3&lt;17,"13-16","adult")))))</f>
        <v>adult</v>
      </c>
      <c r="C5" s="22" t="s">
        <v>82</v>
      </c>
    </row>
    <row r="6" spans="1:3" x14ac:dyDescent="0.25">
      <c r="A6" s="17"/>
      <c r="B6" s="17"/>
      <c r="C6" s="17"/>
    </row>
    <row r="7" spans="1:3" x14ac:dyDescent="0.25">
      <c r="A7" s="17">
        <v>1</v>
      </c>
      <c r="B7" s="17" t="b">
        <f>IF(B5="5-7", TRUE, FALSE)</f>
        <v>0</v>
      </c>
      <c r="C7" s="17">
        <f>IF(B7=TRUE,1,0)</f>
        <v>0</v>
      </c>
    </row>
    <row r="8" spans="1:3" x14ac:dyDescent="0.25">
      <c r="A8" s="17">
        <v>2</v>
      </c>
      <c r="B8" s="17" t="b">
        <f>IF(B5="8-9",TRUE,FALSE)</f>
        <v>0</v>
      </c>
      <c r="C8" s="17">
        <f>IF(B8=TRUE,2,0)</f>
        <v>0</v>
      </c>
    </row>
    <row r="9" spans="1:3" x14ac:dyDescent="0.25">
      <c r="A9" s="17">
        <v>3</v>
      </c>
      <c r="B9" s="17" t="b">
        <f>AND(B5="10-12",B4="F")</f>
        <v>0</v>
      </c>
      <c r="C9" s="17">
        <f>IF(B9=TRUE,3,0)</f>
        <v>0</v>
      </c>
    </row>
    <row r="10" spans="1:3" x14ac:dyDescent="0.25">
      <c r="A10" s="17">
        <v>4</v>
      </c>
      <c r="B10" s="17" t="b">
        <f>AND(B5="10-12",B4="M")</f>
        <v>0</v>
      </c>
      <c r="C10" s="17">
        <f>IF(B10=TRUE,4,0)</f>
        <v>0</v>
      </c>
    </row>
    <row r="11" spans="1:3" x14ac:dyDescent="0.25">
      <c r="A11" s="17">
        <v>5</v>
      </c>
      <c r="B11" s="17" t="b">
        <f>AND(B5="13-16",B4="f")</f>
        <v>0</v>
      </c>
      <c r="C11" s="17">
        <f>IF(B11=TRUE,5,0)</f>
        <v>0</v>
      </c>
    </row>
    <row r="12" spans="1:3" x14ac:dyDescent="0.25">
      <c r="A12" s="17">
        <v>6</v>
      </c>
      <c r="B12" s="17" t="b">
        <f>AND(B5="13-16",B4="m")</f>
        <v>0</v>
      </c>
      <c r="C12" s="17">
        <f>IF(B12=TRUE,6,0)</f>
        <v>0</v>
      </c>
    </row>
    <row r="13" spans="1:3" x14ac:dyDescent="0.25">
      <c r="A13" s="17">
        <v>7</v>
      </c>
      <c r="B13" s="17" t="b">
        <f>AND(B5="adult",B4="F")</f>
        <v>0</v>
      </c>
      <c r="C13" s="17">
        <f>IF(B13=TRUE,7,0)</f>
        <v>0</v>
      </c>
    </row>
    <row r="14" spans="1:3" x14ac:dyDescent="0.25">
      <c r="A14" s="17">
        <v>8</v>
      </c>
      <c r="B14" s="17" t="b">
        <f>AND(B5="adult",B4="M")</f>
        <v>0</v>
      </c>
      <c r="C14" s="17">
        <f>IF(B14=TRUE,8,0)</f>
        <v>0</v>
      </c>
    </row>
    <row r="15" spans="1:3" x14ac:dyDescent="0.25">
      <c r="A15" s="17">
        <v>9</v>
      </c>
      <c r="B15" s="17" t="b">
        <f>IF(B5="3-4", TRUE, FALSE)</f>
        <v>0</v>
      </c>
      <c r="C15" s="17">
        <f>IF(B15=TRUE,9,0)</f>
        <v>0</v>
      </c>
    </row>
    <row r="16" spans="1:3" x14ac:dyDescent="0.25">
      <c r="A16" s="17"/>
      <c r="B16" s="17" t="s">
        <v>84</v>
      </c>
      <c r="C16" s="17">
        <f>SUM(C7:C15)</f>
        <v>0</v>
      </c>
    </row>
    <row r="17" spans="1:106" x14ac:dyDescent="0.25">
      <c r="A17" s="17"/>
      <c r="B17" s="17"/>
      <c r="C17" s="17"/>
    </row>
    <row r="18" spans="1:106" x14ac:dyDescent="0.25">
      <c r="A18" s="17"/>
      <c r="B18" s="17"/>
      <c r="C18" s="51" t="s">
        <v>83</v>
      </c>
      <c r="D18" s="51"/>
    </row>
    <row r="19" spans="1:106" x14ac:dyDescent="0.25">
      <c r="A19" s="17"/>
      <c r="B19" s="17"/>
      <c r="C19" s="17"/>
    </row>
    <row r="20" spans="1:106" x14ac:dyDescent="0.25">
      <c r="A20" s="17"/>
      <c r="B20" s="17"/>
      <c r="C20" t="s">
        <v>52</v>
      </c>
      <c r="F20" t="e">
        <f t="shared" ref="F20:F31" si="0">CHOOSE($C$16,F38,F51,F64,F77,F90,F103,F116,F129,F142)</f>
        <v>#VALUE!</v>
      </c>
      <c r="G20" t="e">
        <f t="shared" ref="G20:BR21" si="1">CHOOSE($C$16,G38,G51,G64,G77,G90,G103,G116,G129,G142)</f>
        <v>#VALUE!</v>
      </c>
      <c r="H20" t="e">
        <f t="shared" si="1"/>
        <v>#VALUE!</v>
      </c>
      <c r="I20" t="e">
        <f t="shared" si="1"/>
        <v>#VALUE!</v>
      </c>
      <c r="J20" t="e">
        <f t="shared" si="1"/>
        <v>#VALUE!</v>
      </c>
      <c r="K20" t="e">
        <f t="shared" si="1"/>
        <v>#VALUE!</v>
      </c>
      <c r="L20" t="e">
        <f t="shared" si="1"/>
        <v>#VALUE!</v>
      </c>
      <c r="M20" t="e">
        <f t="shared" si="1"/>
        <v>#VALUE!</v>
      </c>
      <c r="N20" t="e">
        <f t="shared" si="1"/>
        <v>#VALUE!</v>
      </c>
      <c r="O20" t="e">
        <f t="shared" si="1"/>
        <v>#VALUE!</v>
      </c>
      <c r="P20" t="e">
        <f t="shared" si="1"/>
        <v>#VALUE!</v>
      </c>
      <c r="Q20" t="e">
        <f t="shared" si="1"/>
        <v>#VALUE!</v>
      </c>
      <c r="R20" t="e">
        <f t="shared" si="1"/>
        <v>#VALUE!</v>
      </c>
      <c r="S20" t="e">
        <f t="shared" si="1"/>
        <v>#VALUE!</v>
      </c>
      <c r="T20" t="e">
        <f t="shared" si="1"/>
        <v>#VALUE!</v>
      </c>
      <c r="U20" t="e">
        <f t="shared" si="1"/>
        <v>#VALUE!</v>
      </c>
      <c r="V20" t="e">
        <f t="shared" si="1"/>
        <v>#VALUE!</v>
      </c>
      <c r="W20" t="e">
        <f t="shared" si="1"/>
        <v>#VALUE!</v>
      </c>
      <c r="X20" t="e">
        <f t="shared" si="1"/>
        <v>#VALUE!</v>
      </c>
      <c r="Y20" t="e">
        <f t="shared" si="1"/>
        <v>#VALUE!</v>
      </c>
      <c r="Z20" t="e">
        <f t="shared" si="1"/>
        <v>#VALUE!</v>
      </c>
      <c r="AA20" t="e">
        <f t="shared" si="1"/>
        <v>#VALUE!</v>
      </c>
      <c r="AB20" t="e">
        <f t="shared" si="1"/>
        <v>#VALUE!</v>
      </c>
      <c r="AC20" t="e">
        <f t="shared" si="1"/>
        <v>#VALUE!</v>
      </c>
      <c r="AD20" t="e">
        <f t="shared" si="1"/>
        <v>#VALUE!</v>
      </c>
      <c r="AE20" t="e">
        <f t="shared" si="1"/>
        <v>#VALUE!</v>
      </c>
      <c r="AF20" t="e">
        <f t="shared" si="1"/>
        <v>#VALUE!</v>
      </c>
      <c r="AG20" t="e">
        <f t="shared" si="1"/>
        <v>#VALUE!</v>
      </c>
      <c r="AH20" t="e">
        <f t="shared" si="1"/>
        <v>#VALUE!</v>
      </c>
      <c r="AI20" t="e">
        <f t="shared" si="1"/>
        <v>#VALUE!</v>
      </c>
      <c r="AJ20" t="e">
        <f t="shared" si="1"/>
        <v>#VALUE!</v>
      </c>
      <c r="AK20" t="e">
        <f t="shared" si="1"/>
        <v>#VALUE!</v>
      </c>
      <c r="AL20" t="e">
        <f t="shared" si="1"/>
        <v>#VALUE!</v>
      </c>
      <c r="AM20" t="e">
        <f t="shared" si="1"/>
        <v>#VALUE!</v>
      </c>
      <c r="AN20" t="e">
        <f t="shared" si="1"/>
        <v>#VALUE!</v>
      </c>
      <c r="AO20" t="e">
        <f t="shared" si="1"/>
        <v>#VALUE!</v>
      </c>
      <c r="AP20" t="e">
        <f t="shared" si="1"/>
        <v>#VALUE!</v>
      </c>
      <c r="AQ20" t="e">
        <f t="shared" si="1"/>
        <v>#VALUE!</v>
      </c>
      <c r="AR20" t="e">
        <f t="shared" si="1"/>
        <v>#VALUE!</v>
      </c>
      <c r="AS20" t="e">
        <f t="shared" si="1"/>
        <v>#VALUE!</v>
      </c>
      <c r="AT20" t="e">
        <f t="shared" si="1"/>
        <v>#VALUE!</v>
      </c>
      <c r="AU20" t="e">
        <f t="shared" si="1"/>
        <v>#VALUE!</v>
      </c>
      <c r="AV20" t="e">
        <f t="shared" si="1"/>
        <v>#VALUE!</v>
      </c>
      <c r="AW20" t="e">
        <f t="shared" si="1"/>
        <v>#VALUE!</v>
      </c>
      <c r="AX20" t="e">
        <f t="shared" si="1"/>
        <v>#VALUE!</v>
      </c>
      <c r="AY20" t="e">
        <f t="shared" si="1"/>
        <v>#VALUE!</v>
      </c>
      <c r="AZ20" t="e">
        <f t="shared" si="1"/>
        <v>#VALUE!</v>
      </c>
      <c r="BA20" t="e">
        <f t="shared" si="1"/>
        <v>#VALUE!</v>
      </c>
      <c r="BB20" t="e">
        <f t="shared" si="1"/>
        <v>#VALUE!</v>
      </c>
      <c r="BC20" t="e">
        <f t="shared" si="1"/>
        <v>#VALUE!</v>
      </c>
      <c r="BD20" t="e">
        <f t="shared" si="1"/>
        <v>#VALUE!</v>
      </c>
      <c r="BE20" t="e">
        <f t="shared" si="1"/>
        <v>#VALUE!</v>
      </c>
      <c r="BF20" t="e">
        <f t="shared" si="1"/>
        <v>#VALUE!</v>
      </c>
      <c r="BG20" t="e">
        <f t="shared" si="1"/>
        <v>#VALUE!</v>
      </c>
      <c r="BH20" t="e">
        <f t="shared" si="1"/>
        <v>#VALUE!</v>
      </c>
      <c r="BI20" t="e">
        <f t="shared" si="1"/>
        <v>#VALUE!</v>
      </c>
      <c r="BJ20" t="e">
        <f t="shared" si="1"/>
        <v>#VALUE!</v>
      </c>
      <c r="BK20" t="e">
        <f t="shared" si="1"/>
        <v>#VALUE!</v>
      </c>
      <c r="BL20" t="e">
        <f t="shared" si="1"/>
        <v>#VALUE!</v>
      </c>
      <c r="BM20" t="e">
        <f t="shared" si="1"/>
        <v>#VALUE!</v>
      </c>
      <c r="BN20" t="e">
        <f t="shared" si="1"/>
        <v>#VALUE!</v>
      </c>
      <c r="BO20" t="e">
        <f t="shared" si="1"/>
        <v>#VALUE!</v>
      </c>
      <c r="BP20" t="e">
        <f t="shared" si="1"/>
        <v>#VALUE!</v>
      </c>
      <c r="BQ20" t="e">
        <f t="shared" si="1"/>
        <v>#VALUE!</v>
      </c>
      <c r="BR20" t="e">
        <f t="shared" si="1"/>
        <v>#VALUE!</v>
      </c>
      <c r="BS20" t="e">
        <f t="shared" ref="BS20:DB24" si="2">CHOOSE($C$16,BS38,BS51,BS64,BS77,BS90,BS103,BS116,BS129,BS142)</f>
        <v>#VALUE!</v>
      </c>
      <c r="BT20" t="e">
        <f t="shared" si="2"/>
        <v>#VALUE!</v>
      </c>
      <c r="BU20" t="e">
        <f t="shared" si="2"/>
        <v>#VALUE!</v>
      </c>
      <c r="BV20" t="e">
        <f t="shared" si="2"/>
        <v>#VALUE!</v>
      </c>
      <c r="BW20" t="e">
        <f t="shared" si="2"/>
        <v>#VALUE!</v>
      </c>
      <c r="BX20" t="e">
        <f t="shared" si="2"/>
        <v>#VALUE!</v>
      </c>
      <c r="BY20" t="e">
        <f t="shared" si="2"/>
        <v>#VALUE!</v>
      </c>
      <c r="BZ20" t="e">
        <f t="shared" si="2"/>
        <v>#VALUE!</v>
      </c>
      <c r="CA20" t="e">
        <f t="shared" si="2"/>
        <v>#VALUE!</v>
      </c>
      <c r="CB20" t="e">
        <f t="shared" si="2"/>
        <v>#VALUE!</v>
      </c>
      <c r="CC20" t="e">
        <f t="shared" si="2"/>
        <v>#VALUE!</v>
      </c>
      <c r="CD20" t="e">
        <f t="shared" si="2"/>
        <v>#VALUE!</v>
      </c>
      <c r="CE20" t="e">
        <f t="shared" si="2"/>
        <v>#VALUE!</v>
      </c>
      <c r="CF20" t="e">
        <f t="shared" si="2"/>
        <v>#VALUE!</v>
      </c>
      <c r="CG20" t="e">
        <f t="shared" si="2"/>
        <v>#VALUE!</v>
      </c>
      <c r="CH20" t="e">
        <f t="shared" si="2"/>
        <v>#VALUE!</v>
      </c>
      <c r="CI20" t="e">
        <f t="shared" si="2"/>
        <v>#VALUE!</v>
      </c>
      <c r="CJ20" t="e">
        <f t="shared" si="2"/>
        <v>#VALUE!</v>
      </c>
      <c r="CK20" t="e">
        <f t="shared" si="2"/>
        <v>#VALUE!</v>
      </c>
      <c r="CL20" t="e">
        <f t="shared" si="2"/>
        <v>#VALUE!</v>
      </c>
      <c r="CM20" t="e">
        <f t="shared" si="2"/>
        <v>#VALUE!</v>
      </c>
      <c r="CN20" t="e">
        <f t="shared" si="2"/>
        <v>#VALUE!</v>
      </c>
      <c r="CO20" t="e">
        <f t="shared" si="2"/>
        <v>#VALUE!</v>
      </c>
      <c r="CP20" t="e">
        <f t="shared" si="2"/>
        <v>#VALUE!</v>
      </c>
      <c r="CQ20" t="e">
        <f t="shared" si="2"/>
        <v>#VALUE!</v>
      </c>
      <c r="CR20" t="e">
        <f t="shared" si="2"/>
        <v>#VALUE!</v>
      </c>
      <c r="CS20" t="e">
        <f t="shared" si="2"/>
        <v>#VALUE!</v>
      </c>
      <c r="CT20" t="e">
        <f t="shared" si="2"/>
        <v>#VALUE!</v>
      </c>
      <c r="CU20" t="e">
        <f t="shared" si="2"/>
        <v>#VALUE!</v>
      </c>
      <c r="CV20" t="e">
        <f t="shared" si="2"/>
        <v>#VALUE!</v>
      </c>
      <c r="CW20" t="e">
        <f t="shared" si="2"/>
        <v>#VALUE!</v>
      </c>
      <c r="CX20" t="e">
        <f t="shared" si="2"/>
        <v>#VALUE!</v>
      </c>
      <c r="CY20" t="e">
        <f t="shared" si="2"/>
        <v>#VALUE!</v>
      </c>
      <c r="CZ20" t="e">
        <f t="shared" si="2"/>
        <v>#VALUE!</v>
      </c>
      <c r="DA20" t="e">
        <f t="shared" si="2"/>
        <v>#VALUE!</v>
      </c>
      <c r="DB20" t="e">
        <f t="shared" si="2"/>
        <v>#VALUE!</v>
      </c>
    </row>
    <row r="21" spans="1:106" x14ac:dyDescent="0.25">
      <c r="A21" s="17"/>
      <c r="B21" s="17"/>
      <c r="C21" t="s">
        <v>53</v>
      </c>
      <c r="F21" t="e">
        <f t="shared" si="0"/>
        <v>#VALUE!</v>
      </c>
      <c r="G21" t="e">
        <f t="shared" ref="G21:U21" si="3">CHOOSE($C$16,G39,G52,G65,G78,G91,G104,G117,G130,G143)</f>
        <v>#VALUE!</v>
      </c>
      <c r="H21" t="e">
        <f t="shared" si="3"/>
        <v>#VALUE!</v>
      </c>
      <c r="I21" t="e">
        <f t="shared" si="3"/>
        <v>#VALUE!</v>
      </c>
      <c r="J21" t="e">
        <f t="shared" si="3"/>
        <v>#VALUE!</v>
      </c>
      <c r="K21" t="e">
        <f t="shared" si="3"/>
        <v>#VALUE!</v>
      </c>
      <c r="L21" t="e">
        <f t="shared" si="3"/>
        <v>#VALUE!</v>
      </c>
      <c r="M21" t="e">
        <f t="shared" si="3"/>
        <v>#VALUE!</v>
      </c>
      <c r="N21" t="e">
        <f t="shared" si="3"/>
        <v>#VALUE!</v>
      </c>
      <c r="O21" t="e">
        <f t="shared" si="3"/>
        <v>#VALUE!</v>
      </c>
      <c r="P21" t="e">
        <f t="shared" si="3"/>
        <v>#VALUE!</v>
      </c>
      <c r="Q21" t="e">
        <f t="shared" si="3"/>
        <v>#VALUE!</v>
      </c>
      <c r="R21" t="e">
        <f t="shared" si="3"/>
        <v>#VALUE!</v>
      </c>
      <c r="S21" t="e">
        <f t="shared" si="3"/>
        <v>#VALUE!</v>
      </c>
      <c r="T21" t="e">
        <f t="shared" si="3"/>
        <v>#VALUE!</v>
      </c>
      <c r="U21" t="e">
        <f t="shared" si="3"/>
        <v>#VALUE!</v>
      </c>
      <c r="V21" t="e">
        <f t="shared" si="1"/>
        <v>#VALUE!</v>
      </c>
      <c r="W21" t="e">
        <f t="shared" si="1"/>
        <v>#VALUE!</v>
      </c>
      <c r="X21" t="e">
        <f t="shared" si="1"/>
        <v>#VALUE!</v>
      </c>
      <c r="Y21" t="e">
        <f t="shared" si="1"/>
        <v>#VALUE!</v>
      </c>
      <c r="Z21" t="e">
        <f t="shared" si="1"/>
        <v>#VALUE!</v>
      </c>
      <c r="AA21" t="e">
        <f t="shared" si="1"/>
        <v>#VALUE!</v>
      </c>
      <c r="AB21" t="e">
        <f t="shared" si="1"/>
        <v>#VALUE!</v>
      </c>
      <c r="AC21" t="e">
        <f t="shared" si="1"/>
        <v>#VALUE!</v>
      </c>
      <c r="AD21" t="e">
        <f t="shared" si="1"/>
        <v>#VALUE!</v>
      </c>
      <c r="AE21" t="e">
        <f t="shared" si="1"/>
        <v>#VALUE!</v>
      </c>
      <c r="AF21" t="e">
        <f t="shared" si="1"/>
        <v>#VALUE!</v>
      </c>
      <c r="AG21" t="e">
        <f t="shared" si="1"/>
        <v>#VALUE!</v>
      </c>
      <c r="AH21" t="e">
        <f t="shared" si="1"/>
        <v>#VALUE!</v>
      </c>
      <c r="AI21" t="e">
        <f t="shared" si="1"/>
        <v>#VALUE!</v>
      </c>
      <c r="AJ21" t="e">
        <f t="shared" si="1"/>
        <v>#VALUE!</v>
      </c>
      <c r="AK21" t="e">
        <f t="shared" si="1"/>
        <v>#VALUE!</v>
      </c>
      <c r="AL21" t="e">
        <f t="shared" si="1"/>
        <v>#VALUE!</v>
      </c>
      <c r="AM21" t="e">
        <f t="shared" si="1"/>
        <v>#VALUE!</v>
      </c>
      <c r="AN21" t="e">
        <f t="shared" si="1"/>
        <v>#VALUE!</v>
      </c>
      <c r="AO21" t="e">
        <f t="shared" si="1"/>
        <v>#VALUE!</v>
      </c>
      <c r="AP21" t="e">
        <f t="shared" si="1"/>
        <v>#VALUE!</v>
      </c>
      <c r="AQ21" t="e">
        <f t="shared" si="1"/>
        <v>#VALUE!</v>
      </c>
      <c r="AR21" t="e">
        <f t="shared" si="1"/>
        <v>#VALUE!</v>
      </c>
      <c r="AS21" t="e">
        <f t="shared" si="1"/>
        <v>#VALUE!</v>
      </c>
      <c r="AT21" t="e">
        <f t="shared" si="1"/>
        <v>#VALUE!</v>
      </c>
      <c r="AU21" t="e">
        <f t="shared" si="1"/>
        <v>#VALUE!</v>
      </c>
      <c r="AV21" t="e">
        <f t="shared" si="1"/>
        <v>#VALUE!</v>
      </c>
      <c r="AW21" t="e">
        <f t="shared" si="1"/>
        <v>#VALUE!</v>
      </c>
      <c r="AX21" t="e">
        <f t="shared" si="1"/>
        <v>#VALUE!</v>
      </c>
      <c r="AY21" t="e">
        <f t="shared" si="1"/>
        <v>#VALUE!</v>
      </c>
      <c r="AZ21" t="e">
        <f t="shared" si="1"/>
        <v>#VALUE!</v>
      </c>
      <c r="BA21" t="e">
        <f t="shared" si="1"/>
        <v>#VALUE!</v>
      </c>
      <c r="BB21" t="e">
        <f t="shared" si="1"/>
        <v>#VALUE!</v>
      </c>
      <c r="BC21" t="e">
        <f t="shared" si="1"/>
        <v>#VALUE!</v>
      </c>
      <c r="BD21" t="e">
        <f t="shared" si="1"/>
        <v>#VALUE!</v>
      </c>
      <c r="BE21" t="e">
        <f t="shared" si="1"/>
        <v>#VALUE!</v>
      </c>
      <c r="BF21" t="e">
        <f t="shared" si="1"/>
        <v>#VALUE!</v>
      </c>
      <c r="BG21" t="e">
        <f t="shared" si="1"/>
        <v>#VALUE!</v>
      </c>
      <c r="BH21" t="e">
        <f t="shared" si="1"/>
        <v>#VALUE!</v>
      </c>
      <c r="BI21" t="e">
        <f t="shared" si="1"/>
        <v>#VALUE!</v>
      </c>
      <c r="BJ21" t="e">
        <f t="shared" si="1"/>
        <v>#VALUE!</v>
      </c>
      <c r="BK21" t="e">
        <f t="shared" si="1"/>
        <v>#VALUE!</v>
      </c>
      <c r="BL21" t="e">
        <f t="shared" si="1"/>
        <v>#VALUE!</v>
      </c>
      <c r="BM21" t="e">
        <f t="shared" si="1"/>
        <v>#VALUE!</v>
      </c>
      <c r="BN21" t="e">
        <f t="shared" si="1"/>
        <v>#VALUE!</v>
      </c>
      <c r="BO21" t="e">
        <f t="shared" si="1"/>
        <v>#VALUE!</v>
      </c>
      <c r="BP21" t="e">
        <f t="shared" si="1"/>
        <v>#VALUE!</v>
      </c>
      <c r="BQ21" t="e">
        <f t="shared" si="1"/>
        <v>#VALUE!</v>
      </c>
      <c r="BR21" t="e">
        <f t="shared" si="1"/>
        <v>#VALUE!</v>
      </c>
      <c r="BS21" t="e">
        <f t="shared" si="2"/>
        <v>#VALUE!</v>
      </c>
      <c r="BT21" t="e">
        <f t="shared" si="2"/>
        <v>#VALUE!</v>
      </c>
      <c r="BU21" t="e">
        <f t="shared" si="2"/>
        <v>#VALUE!</v>
      </c>
      <c r="BV21" t="e">
        <f t="shared" si="2"/>
        <v>#VALUE!</v>
      </c>
      <c r="BW21" t="e">
        <f t="shared" si="2"/>
        <v>#VALUE!</v>
      </c>
      <c r="BX21" t="e">
        <f t="shared" si="2"/>
        <v>#VALUE!</v>
      </c>
      <c r="BY21" t="e">
        <f t="shared" si="2"/>
        <v>#VALUE!</v>
      </c>
      <c r="BZ21" t="e">
        <f t="shared" si="2"/>
        <v>#VALUE!</v>
      </c>
      <c r="CA21" t="e">
        <f t="shared" si="2"/>
        <v>#VALUE!</v>
      </c>
      <c r="CB21" t="e">
        <f t="shared" si="2"/>
        <v>#VALUE!</v>
      </c>
      <c r="CC21" t="e">
        <f t="shared" si="2"/>
        <v>#VALUE!</v>
      </c>
      <c r="CD21" t="e">
        <f t="shared" si="2"/>
        <v>#VALUE!</v>
      </c>
      <c r="CE21" t="e">
        <f t="shared" si="2"/>
        <v>#VALUE!</v>
      </c>
      <c r="CF21" t="e">
        <f t="shared" si="2"/>
        <v>#VALUE!</v>
      </c>
      <c r="CG21" t="e">
        <f t="shared" si="2"/>
        <v>#VALUE!</v>
      </c>
      <c r="CH21" t="e">
        <f t="shared" si="2"/>
        <v>#VALUE!</v>
      </c>
      <c r="CI21" t="e">
        <f t="shared" si="2"/>
        <v>#VALUE!</v>
      </c>
      <c r="CJ21" t="e">
        <f t="shared" si="2"/>
        <v>#VALUE!</v>
      </c>
      <c r="CK21" t="e">
        <f t="shared" si="2"/>
        <v>#VALUE!</v>
      </c>
      <c r="CL21" t="e">
        <f t="shared" si="2"/>
        <v>#VALUE!</v>
      </c>
      <c r="CM21" t="e">
        <f t="shared" si="2"/>
        <v>#VALUE!</v>
      </c>
      <c r="CN21" t="e">
        <f t="shared" si="2"/>
        <v>#VALUE!</v>
      </c>
      <c r="CO21" t="e">
        <f t="shared" si="2"/>
        <v>#VALUE!</v>
      </c>
      <c r="CP21" t="e">
        <f t="shared" si="2"/>
        <v>#VALUE!</v>
      </c>
      <c r="CQ21" t="e">
        <f t="shared" si="2"/>
        <v>#VALUE!</v>
      </c>
      <c r="CR21" t="e">
        <f t="shared" si="2"/>
        <v>#VALUE!</v>
      </c>
      <c r="CS21" t="e">
        <f t="shared" si="2"/>
        <v>#VALUE!</v>
      </c>
      <c r="CT21" t="e">
        <f t="shared" si="2"/>
        <v>#VALUE!</v>
      </c>
      <c r="CU21" t="e">
        <f t="shared" si="2"/>
        <v>#VALUE!</v>
      </c>
      <c r="CV21" t="e">
        <f t="shared" si="2"/>
        <v>#VALUE!</v>
      </c>
      <c r="CW21" t="e">
        <f t="shared" si="2"/>
        <v>#VALUE!</v>
      </c>
      <c r="CX21" t="e">
        <f t="shared" si="2"/>
        <v>#VALUE!</v>
      </c>
      <c r="CY21" t="e">
        <f t="shared" si="2"/>
        <v>#VALUE!</v>
      </c>
      <c r="CZ21" t="e">
        <f t="shared" si="2"/>
        <v>#VALUE!</v>
      </c>
      <c r="DA21" t="e">
        <f t="shared" si="2"/>
        <v>#VALUE!</v>
      </c>
      <c r="DB21" t="e">
        <f t="shared" si="2"/>
        <v>#VALUE!</v>
      </c>
    </row>
    <row r="22" spans="1:106" x14ac:dyDescent="0.25">
      <c r="A22" s="17"/>
      <c r="B22" s="17"/>
      <c r="C22" t="s">
        <v>54</v>
      </c>
      <c r="F22" t="e">
        <f t="shared" si="0"/>
        <v>#VALUE!</v>
      </c>
      <c r="G22" t="e">
        <f t="shared" ref="G22:BR25" si="4">CHOOSE($C$16,G40,G53,G66,G79,G92,G105,G118,G131,G144)</f>
        <v>#VALUE!</v>
      </c>
      <c r="H22" t="e">
        <f t="shared" si="4"/>
        <v>#VALUE!</v>
      </c>
      <c r="I22" t="e">
        <f t="shared" si="4"/>
        <v>#VALUE!</v>
      </c>
      <c r="J22" t="e">
        <f t="shared" si="4"/>
        <v>#VALUE!</v>
      </c>
      <c r="K22" t="e">
        <f t="shared" si="4"/>
        <v>#VALUE!</v>
      </c>
      <c r="L22" t="e">
        <f t="shared" si="4"/>
        <v>#VALUE!</v>
      </c>
      <c r="M22" t="e">
        <f t="shared" si="4"/>
        <v>#VALUE!</v>
      </c>
      <c r="N22" t="e">
        <f t="shared" si="4"/>
        <v>#VALUE!</v>
      </c>
      <c r="O22" t="e">
        <f t="shared" si="4"/>
        <v>#VALUE!</v>
      </c>
      <c r="P22" t="e">
        <f t="shared" si="4"/>
        <v>#VALUE!</v>
      </c>
      <c r="Q22" t="e">
        <f t="shared" si="4"/>
        <v>#VALUE!</v>
      </c>
      <c r="R22" t="e">
        <f t="shared" si="4"/>
        <v>#VALUE!</v>
      </c>
      <c r="S22" t="e">
        <f t="shared" si="4"/>
        <v>#VALUE!</v>
      </c>
      <c r="T22" t="e">
        <f t="shared" si="4"/>
        <v>#VALUE!</v>
      </c>
      <c r="U22" t="e">
        <f t="shared" si="4"/>
        <v>#VALUE!</v>
      </c>
      <c r="V22" t="e">
        <f t="shared" si="4"/>
        <v>#VALUE!</v>
      </c>
      <c r="W22" t="e">
        <f t="shared" si="4"/>
        <v>#VALUE!</v>
      </c>
      <c r="X22" t="e">
        <f t="shared" si="4"/>
        <v>#VALUE!</v>
      </c>
      <c r="Y22" t="e">
        <f t="shared" si="4"/>
        <v>#VALUE!</v>
      </c>
      <c r="Z22" t="e">
        <f t="shared" si="4"/>
        <v>#VALUE!</v>
      </c>
      <c r="AA22" t="e">
        <f t="shared" si="4"/>
        <v>#VALUE!</v>
      </c>
      <c r="AB22" t="e">
        <f t="shared" si="4"/>
        <v>#VALUE!</v>
      </c>
      <c r="AC22" t="e">
        <f t="shared" si="4"/>
        <v>#VALUE!</v>
      </c>
      <c r="AD22" t="e">
        <f t="shared" si="4"/>
        <v>#VALUE!</v>
      </c>
      <c r="AE22" t="e">
        <f t="shared" si="4"/>
        <v>#VALUE!</v>
      </c>
      <c r="AF22" t="e">
        <f t="shared" si="4"/>
        <v>#VALUE!</v>
      </c>
      <c r="AG22" t="e">
        <f t="shared" si="4"/>
        <v>#VALUE!</v>
      </c>
      <c r="AH22" t="e">
        <f t="shared" si="4"/>
        <v>#VALUE!</v>
      </c>
      <c r="AI22" t="e">
        <f t="shared" si="4"/>
        <v>#VALUE!</v>
      </c>
      <c r="AJ22" t="e">
        <f t="shared" si="4"/>
        <v>#VALUE!</v>
      </c>
      <c r="AK22" t="e">
        <f t="shared" si="4"/>
        <v>#VALUE!</v>
      </c>
      <c r="AL22" t="e">
        <f t="shared" si="4"/>
        <v>#VALUE!</v>
      </c>
      <c r="AM22" t="e">
        <f t="shared" si="4"/>
        <v>#VALUE!</v>
      </c>
      <c r="AN22" t="e">
        <f t="shared" si="4"/>
        <v>#VALUE!</v>
      </c>
      <c r="AO22" t="e">
        <f t="shared" si="4"/>
        <v>#VALUE!</v>
      </c>
      <c r="AP22" t="e">
        <f t="shared" si="4"/>
        <v>#VALUE!</v>
      </c>
      <c r="AQ22" t="e">
        <f t="shared" si="4"/>
        <v>#VALUE!</v>
      </c>
      <c r="AR22" t="e">
        <f t="shared" si="4"/>
        <v>#VALUE!</v>
      </c>
      <c r="AS22" t="e">
        <f t="shared" si="4"/>
        <v>#VALUE!</v>
      </c>
      <c r="AT22" t="e">
        <f t="shared" si="4"/>
        <v>#VALUE!</v>
      </c>
      <c r="AU22" t="e">
        <f t="shared" si="4"/>
        <v>#VALUE!</v>
      </c>
      <c r="AV22" t="e">
        <f t="shared" si="4"/>
        <v>#VALUE!</v>
      </c>
      <c r="AW22" t="e">
        <f t="shared" si="4"/>
        <v>#VALUE!</v>
      </c>
      <c r="AX22" t="e">
        <f t="shared" si="4"/>
        <v>#VALUE!</v>
      </c>
      <c r="AY22" t="e">
        <f t="shared" si="4"/>
        <v>#VALUE!</v>
      </c>
      <c r="AZ22" t="e">
        <f t="shared" si="4"/>
        <v>#VALUE!</v>
      </c>
      <c r="BA22" t="e">
        <f t="shared" si="4"/>
        <v>#VALUE!</v>
      </c>
      <c r="BB22" t="e">
        <f t="shared" si="4"/>
        <v>#VALUE!</v>
      </c>
      <c r="BC22" t="e">
        <f t="shared" si="4"/>
        <v>#VALUE!</v>
      </c>
      <c r="BD22" t="e">
        <f t="shared" si="4"/>
        <v>#VALUE!</v>
      </c>
      <c r="BE22" t="e">
        <f t="shared" si="4"/>
        <v>#VALUE!</v>
      </c>
      <c r="BF22" t="e">
        <f t="shared" si="4"/>
        <v>#VALUE!</v>
      </c>
      <c r="BG22" t="e">
        <f t="shared" si="4"/>
        <v>#VALUE!</v>
      </c>
      <c r="BH22" t="e">
        <f t="shared" si="4"/>
        <v>#VALUE!</v>
      </c>
      <c r="BI22" t="e">
        <f t="shared" si="4"/>
        <v>#VALUE!</v>
      </c>
      <c r="BJ22" t="e">
        <f t="shared" si="4"/>
        <v>#VALUE!</v>
      </c>
      <c r="BK22" t="e">
        <f t="shared" si="4"/>
        <v>#VALUE!</v>
      </c>
      <c r="BL22" t="e">
        <f t="shared" si="4"/>
        <v>#VALUE!</v>
      </c>
      <c r="BM22" t="e">
        <f t="shared" si="4"/>
        <v>#VALUE!</v>
      </c>
      <c r="BN22" t="e">
        <f t="shared" si="4"/>
        <v>#VALUE!</v>
      </c>
      <c r="BO22" t="e">
        <f t="shared" si="4"/>
        <v>#VALUE!</v>
      </c>
      <c r="BP22" t="e">
        <f t="shared" si="4"/>
        <v>#VALUE!</v>
      </c>
      <c r="BQ22" t="e">
        <f t="shared" si="4"/>
        <v>#VALUE!</v>
      </c>
      <c r="BR22" t="e">
        <f t="shared" si="4"/>
        <v>#VALUE!</v>
      </c>
      <c r="BS22" t="e">
        <f t="shared" si="2"/>
        <v>#VALUE!</v>
      </c>
      <c r="BT22" t="e">
        <f t="shared" si="2"/>
        <v>#VALUE!</v>
      </c>
      <c r="BU22" t="e">
        <f t="shared" si="2"/>
        <v>#VALUE!</v>
      </c>
      <c r="BV22" t="e">
        <f t="shared" si="2"/>
        <v>#VALUE!</v>
      </c>
      <c r="BW22" t="e">
        <f t="shared" si="2"/>
        <v>#VALUE!</v>
      </c>
      <c r="BX22" t="e">
        <f t="shared" si="2"/>
        <v>#VALUE!</v>
      </c>
      <c r="BY22" t="e">
        <f t="shared" si="2"/>
        <v>#VALUE!</v>
      </c>
      <c r="BZ22" t="e">
        <f t="shared" si="2"/>
        <v>#VALUE!</v>
      </c>
      <c r="CA22" t="e">
        <f t="shared" si="2"/>
        <v>#VALUE!</v>
      </c>
      <c r="CB22" t="e">
        <f t="shared" si="2"/>
        <v>#VALUE!</v>
      </c>
      <c r="CC22" t="e">
        <f t="shared" si="2"/>
        <v>#VALUE!</v>
      </c>
      <c r="CD22" t="e">
        <f t="shared" si="2"/>
        <v>#VALUE!</v>
      </c>
      <c r="CE22" t="e">
        <f t="shared" si="2"/>
        <v>#VALUE!</v>
      </c>
      <c r="CF22" t="e">
        <f t="shared" si="2"/>
        <v>#VALUE!</v>
      </c>
      <c r="CG22" t="e">
        <f t="shared" si="2"/>
        <v>#VALUE!</v>
      </c>
      <c r="CH22" t="e">
        <f t="shared" si="2"/>
        <v>#VALUE!</v>
      </c>
      <c r="CI22" t="e">
        <f t="shared" si="2"/>
        <v>#VALUE!</v>
      </c>
      <c r="CJ22" t="e">
        <f t="shared" si="2"/>
        <v>#VALUE!</v>
      </c>
      <c r="CK22" t="e">
        <f t="shared" si="2"/>
        <v>#VALUE!</v>
      </c>
      <c r="CL22" t="e">
        <f t="shared" si="2"/>
        <v>#VALUE!</v>
      </c>
      <c r="CM22" t="e">
        <f t="shared" si="2"/>
        <v>#VALUE!</v>
      </c>
      <c r="CN22" t="e">
        <f t="shared" si="2"/>
        <v>#VALUE!</v>
      </c>
      <c r="CO22" t="e">
        <f t="shared" si="2"/>
        <v>#VALUE!</v>
      </c>
      <c r="CP22" t="e">
        <f t="shared" si="2"/>
        <v>#VALUE!</v>
      </c>
      <c r="CQ22" t="e">
        <f t="shared" si="2"/>
        <v>#VALUE!</v>
      </c>
      <c r="CR22" t="e">
        <f t="shared" si="2"/>
        <v>#VALUE!</v>
      </c>
      <c r="CS22" t="e">
        <f t="shared" si="2"/>
        <v>#VALUE!</v>
      </c>
      <c r="CT22" t="e">
        <f t="shared" si="2"/>
        <v>#VALUE!</v>
      </c>
      <c r="CU22" t="e">
        <f t="shared" si="2"/>
        <v>#VALUE!</v>
      </c>
      <c r="CV22" t="e">
        <f t="shared" si="2"/>
        <v>#VALUE!</v>
      </c>
      <c r="CW22" t="e">
        <f t="shared" si="2"/>
        <v>#VALUE!</v>
      </c>
      <c r="CX22" t="e">
        <f t="shared" si="2"/>
        <v>#VALUE!</v>
      </c>
      <c r="CY22" t="e">
        <f t="shared" si="2"/>
        <v>#VALUE!</v>
      </c>
      <c r="CZ22" t="e">
        <f t="shared" si="2"/>
        <v>#VALUE!</v>
      </c>
      <c r="DA22" t="e">
        <f t="shared" si="2"/>
        <v>#VALUE!</v>
      </c>
      <c r="DB22" t="e">
        <f t="shared" si="2"/>
        <v>#VALUE!</v>
      </c>
    </row>
    <row r="23" spans="1:106" x14ac:dyDescent="0.25">
      <c r="A23" s="17"/>
      <c r="B23" s="17"/>
      <c r="C23" t="s">
        <v>55</v>
      </c>
      <c r="F23" t="e">
        <f t="shared" si="0"/>
        <v>#VALUE!</v>
      </c>
      <c r="G23" t="e">
        <f t="shared" si="4"/>
        <v>#VALUE!</v>
      </c>
      <c r="H23" t="e">
        <f t="shared" si="4"/>
        <v>#VALUE!</v>
      </c>
      <c r="I23" t="e">
        <f t="shared" si="4"/>
        <v>#VALUE!</v>
      </c>
      <c r="J23" t="e">
        <f t="shared" si="4"/>
        <v>#VALUE!</v>
      </c>
      <c r="K23" t="e">
        <f t="shared" si="4"/>
        <v>#VALUE!</v>
      </c>
      <c r="L23" t="e">
        <f t="shared" si="4"/>
        <v>#VALUE!</v>
      </c>
      <c r="M23" t="e">
        <f t="shared" si="4"/>
        <v>#VALUE!</v>
      </c>
      <c r="N23" t="e">
        <f t="shared" si="4"/>
        <v>#VALUE!</v>
      </c>
      <c r="O23" t="e">
        <f t="shared" si="4"/>
        <v>#VALUE!</v>
      </c>
      <c r="P23" t="e">
        <f t="shared" si="4"/>
        <v>#VALUE!</v>
      </c>
      <c r="Q23" t="e">
        <f t="shared" si="4"/>
        <v>#VALUE!</v>
      </c>
      <c r="R23" t="e">
        <f t="shared" si="4"/>
        <v>#VALUE!</v>
      </c>
      <c r="S23" t="e">
        <f t="shared" si="4"/>
        <v>#VALUE!</v>
      </c>
      <c r="T23" t="e">
        <f t="shared" si="4"/>
        <v>#VALUE!</v>
      </c>
      <c r="U23" t="e">
        <f t="shared" si="4"/>
        <v>#VALUE!</v>
      </c>
      <c r="V23" t="e">
        <f t="shared" si="4"/>
        <v>#VALUE!</v>
      </c>
      <c r="W23" t="e">
        <f t="shared" si="4"/>
        <v>#VALUE!</v>
      </c>
      <c r="X23" t="e">
        <f t="shared" si="4"/>
        <v>#VALUE!</v>
      </c>
      <c r="Y23" t="e">
        <f t="shared" si="4"/>
        <v>#VALUE!</v>
      </c>
      <c r="Z23" t="e">
        <f t="shared" si="4"/>
        <v>#VALUE!</v>
      </c>
      <c r="AA23" t="e">
        <f t="shared" si="4"/>
        <v>#VALUE!</v>
      </c>
      <c r="AB23" t="e">
        <f t="shared" si="4"/>
        <v>#VALUE!</v>
      </c>
      <c r="AC23" t="e">
        <f t="shared" si="4"/>
        <v>#VALUE!</v>
      </c>
      <c r="AD23" t="e">
        <f t="shared" si="4"/>
        <v>#VALUE!</v>
      </c>
      <c r="AE23" t="e">
        <f t="shared" si="4"/>
        <v>#VALUE!</v>
      </c>
      <c r="AF23" t="e">
        <f t="shared" si="4"/>
        <v>#VALUE!</v>
      </c>
      <c r="AG23" t="e">
        <f t="shared" si="4"/>
        <v>#VALUE!</v>
      </c>
      <c r="AH23" t="e">
        <f t="shared" si="4"/>
        <v>#VALUE!</v>
      </c>
      <c r="AI23" t="e">
        <f t="shared" si="4"/>
        <v>#VALUE!</v>
      </c>
      <c r="AJ23" t="e">
        <f t="shared" si="4"/>
        <v>#VALUE!</v>
      </c>
      <c r="AK23" t="e">
        <f t="shared" si="4"/>
        <v>#VALUE!</v>
      </c>
      <c r="AL23" t="e">
        <f t="shared" si="4"/>
        <v>#VALUE!</v>
      </c>
      <c r="AM23" t="e">
        <f t="shared" si="4"/>
        <v>#VALUE!</v>
      </c>
      <c r="AN23" t="e">
        <f t="shared" si="4"/>
        <v>#VALUE!</v>
      </c>
      <c r="AO23" t="e">
        <f t="shared" si="4"/>
        <v>#VALUE!</v>
      </c>
      <c r="AP23" t="e">
        <f t="shared" si="4"/>
        <v>#VALUE!</v>
      </c>
      <c r="AQ23" t="e">
        <f t="shared" si="4"/>
        <v>#VALUE!</v>
      </c>
      <c r="AR23" t="e">
        <f t="shared" si="4"/>
        <v>#VALUE!</v>
      </c>
      <c r="AS23" t="e">
        <f t="shared" si="4"/>
        <v>#VALUE!</v>
      </c>
      <c r="AT23" t="e">
        <f t="shared" si="4"/>
        <v>#VALUE!</v>
      </c>
      <c r="AU23" t="e">
        <f t="shared" si="4"/>
        <v>#VALUE!</v>
      </c>
      <c r="AV23" t="e">
        <f t="shared" si="4"/>
        <v>#VALUE!</v>
      </c>
      <c r="AW23" t="e">
        <f t="shared" si="4"/>
        <v>#VALUE!</v>
      </c>
      <c r="AX23" t="e">
        <f t="shared" si="4"/>
        <v>#VALUE!</v>
      </c>
      <c r="AY23" t="e">
        <f t="shared" si="4"/>
        <v>#VALUE!</v>
      </c>
      <c r="AZ23" t="e">
        <f t="shared" si="4"/>
        <v>#VALUE!</v>
      </c>
      <c r="BA23" t="e">
        <f t="shared" si="4"/>
        <v>#VALUE!</v>
      </c>
      <c r="BB23" t="e">
        <f t="shared" si="4"/>
        <v>#VALUE!</v>
      </c>
      <c r="BC23" t="e">
        <f t="shared" si="4"/>
        <v>#VALUE!</v>
      </c>
      <c r="BD23" t="e">
        <f t="shared" si="4"/>
        <v>#VALUE!</v>
      </c>
      <c r="BE23" t="e">
        <f t="shared" si="4"/>
        <v>#VALUE!</v>
      </c>
      <c r="BF23" t="e">
        <f t="shared" si="4"/>
        <v>#VALUE!</v>
      </c>
      <c r="BG23" t="e">
        <f t="shared" si="4"/>
        <v>#VALUE!</v>
      </c>
      <c r="BH23" t="e">
        <f t="shared" si="4"/>
        <v>#VALUE!</v>
      </c>
      <c r="BI23" t="e">
        <f t="shared" si="4"/>
        <v>#VALUE!</v>
      </c>
      <c r="BJ23" t="e">
        <f t="shared" si="4"/>
        <v>#VALUE!</v>
      </c>
      <c r="BK23" t="e">
        <f t="shared" si="4"/>
        <v>#VALUE!</v>
      </c>
      <c r="BL23" t="e">
        <f t="shared" si="4"/>
        <v>#VALUE!</v>
      </c>
      <c r="BM23" t="e">
        <f t="shared" si="4"/>
        <v>#VALUE!</v>
      </c>
      <c r="BN23" t="e">
        <f t="shared" si="4"/>
        <v>#VALUE!</v>
      </c>
      <c r="BO23" t="e">
        <f t="shared" si="4"/>
        <v>#VALUE!</v>
      </c>
      <c r="BP23" t="e">
        <f t="shared" si="4"/>
        <v>#VALUE!</v>
      </c>
      <c r="BQ23" t="e">
        <f t="shared" si="4"/>
        <v>#VALUE!</v>
      </c>
      <c r="BR23" t="e">
        <f t="shared" si="4"/>
        <v>#VALUE!</v>
      </c>
      <c r="BS23" t="e">
        <f t="shared" si="2"/>
        <v>#VALUE!</v>
      </c>
      <c r="BT23" t="e">
        <f t="shared" si="2"/>
        <v>#VALUE!</v>
      </c>
      <c r="BU23" t="e">
        <f t="shared" si="2"/>
        <v>#VALUE!</v>
      </c>
      <c r="BV23" t="e">
        <f t="shared" si="2"/>
        <v>#VALUE!</v>
      </c>
      <c r="BW23" t="e">
        <f t="shared" si="2"/>
        <v>#VALUE!</v>
      </c>
      <c r="BX23" t="e">
        <f t="shared" si="2"/>
        <v>#VALUE!</v>
      </c>
      <c r="BY23" t="e">
        <f t="shared" si="2"/>
        <v>#VALUE!</v>
      </c>
      <c r="BZ23" t="e">
        <f t="shared" si="2"/>
        <v>#VALUE!</v>
      </c>
      <c r="CA23" t="e">
        <f t="shared" si="2"/>
        <v>#VALUE!</v>
      </c>
      <c r="CB23" t="e">
        <f t="shared" si="2"/>
        <v>#VALUE!</v>
      </c>
      <c r="CC23" t="e">
        <f t="shared" si="2"/>
        <v>#VALUE!</v>
      </c>
      <c r="CD23" t="e">
        <f t="shared" si="2"/>
        <v>#VALUE!</v>
      </c>
      <c r="CE23" t="e">
        <f t="shared" si="2"/>
        <v>#VALUE!</v>
      </c>
      <c r="CF23" t="e">
        <f t="shared" si="2"/>
        <v>#VALUE!</v>
      </c>
      <c r="CG23" t="e">
        <f t="shared" si="2"/>
        <v>#VALUE!</v>
      </c>
      <c r="CH23" t="e">
        <f t="shared" si="2"/>
        <v>#VALUE!</v>
      </c>
      <c r="CI23" t="e">
        <f t="shared" si="2"/>
        <v>#VALUE!</v>
      </c>
      <c r="CJ23" t="e">
        <f t="shared" si="2"/>
        <v>#VALUE!</v>
      </c>
      <c r="CK23" t="e">
        <f t="shared" si="2"/>
        <v>#VALUE!</v>
      </c>
      <c r="CL23" t="e">
        <f t="shared" si="2"/>
        <v>#VALUE!</v>
      </c>
      <c r="CM23" t="e">
        <f t="shared" si="2"/>
        <v>#VALUE!</v>
      </c>
      <c r="CN23" t="e">
        <f t="shared" si="2"/>
        <v>#VALUE!</v>
      </c>
      <c r="CO23" t="e">
        <f t="shared" si="2"/>
        <v>#VALUE!</v>
      </c>
      <c r="CP23" t="e">
        <f t="shared" si="2"/>
        <v>#VALUE!</v>
      </c>
      <c r="CQ23" t="e">
        <f t="shared" si="2"/>
        <v>#VALUE!</v>
      </c>
      <c r="CR23" t="e">
        <f t="shared" si="2"/>
        <v>#VALUE!</v>
      </c>
      <c r="CS23" t="e">
        <f t="shared" si="2"/>
        <v>#VALUE!</v>
      </c>
      <c r="CT23" t="e">
        <f t="shared" si="2"/>
        <v>#VALUE!</v>
      </c>
      <c r="CU23" t="e">
        <f t="shared" si="2"/>
        <v>#VALUE!</v>
      </c>
      <c r="CV23" t="e">
        <f t="shared" si="2"/>
        <v>#VALUE!</v>
      </c>
      <c r="CW23" t="e">
        <f t="shared" si="2"/>
        <v>#VALUE!</v>
      </c>
      <c r="CX23" t="e">
        <f t="shared" si="2"/>
        <v>#VALUE!</v>
      </c>
      <c r="CY23" t="e">
        <f t="shared" si="2"/>
        <v>#VALUE!</v>
      </c>
      <c r="CZ23" t="e">
        <f t="shared" si="2"/>
        <v>#VALUE!</v>
      </c>
      <c r="DA23" t="e">
        <f t="shared" si="2"/>
        <v>#VALUE!</v>
      </c>
      <c r="DB23" t="e">
        <f t="shared" si="2"/>
        <v>#VALUE!</v>
      </c>
    </row>
    <row r="24" spans="1:106" x14ac:dyDescent="0.25">
      <c r="A24" s="17"/>
      <c r="B24" s="17"/>
      <c r="C24" t="s">
        <v>56</v>
      </c>
      <c r="F24" t="e">
        <f t="shared" si="0"/>
        <v>#VALUE!</v>
      </c>
      <c r="G24" t="e">
        <f t="shared" si="4"/>
        <v>#VALUE!</v>
      </c>
      <c r="H24" t="e">
        <f t="shared" si="4"/>
        <v>#VALUE!</v>
      </c>
      <c r="I24" t="e">
        <f t="shared" si="4"/>
        <v>#VALUE!</v>
      </c>
      <c r="J24" t="e">
        <f t="shared" si="4"/>
        <v>#VALUE!</v>
      </c>
      <c r="K24" t="e">
        <f t="shared" si="4"/>
        <v>#VALUE!</v>
      </c>
      <c r="L24" t="e">
        <f t="shared" si="4"/>
        <v>#VALUE!</v>
      </c>
      <c r="M24" t="e">
        <f t="shared" si="4"/>
        <v>#VALUE!</v>
      </c>
      <c r="N24" t="e">
        <f t="shared" si="4"/>
        <v>#VALUE!</v>
      </c>
      <c r="O24" t="e">
        <f t="shared" si="4"/>
        <v>#VALUE!</v>
      </c>
      <c r="P24" t="e">
        <f t="shared" si="4"/>
        <v>#VALUE!</v>
      </c>
      <c r="Q24" t="e">
        <f t="shared" si="4"/>
        <v>#VALUE!</v>
      </c>
      <c r="R24" t="e">
        <f t="shared" si="4"/>
        <v>#VALUE!</v>
      </c>
      <c r="S24" t="e">
        <f t="shared" si="4"/>
        <v>#VALUE!</v>
      </c>
      <c r="T24" t="e">
        <f t="shared" si="4"/>
        <v>#VALUE!</v>
      </c>
      <c r="U24" t="e">
        <f t="shared" si="4"/>
        <v>#VALUE!</v>
      </c>
      <c r="V24" t="e">
        <f t="shared" si="4"/>
        <v>#VALUE!</v>
      </c>
      <c r="W24" t="e">
        <f t="shared" si="4"/>
        <v>#VALUE!</v>
      </c>
      <c r="X24" t="e">
        <f t="shared" si="4"/>
        <v>#VALUE!</v>
      </c>
      <c r="Y24" t="e">
        <f t="shared" si="4"/>
        <v>#VALUE!</v>
      </c>
      <c r="Z24" t="e">
        <f t="shared" si="4"/>
        <v>#VALUE!</v>
      </c>
      <c r="AA24" t="e">
        <f t="shared" si="4"/>
        <v>#VALUE!</v>
      </c>
      <c r="AB24" t="e">
        <f t="shared" si="4"/>
        <v>#VALUE!</v>
      </c>
      <c r="AC24" t="e">
        <f t="shared" si="4"/>
        <v>#VALUE!</v>
      </c>
      <c r="AD24" t="e">
        <f t="shared" si="4"/>
        <v>#VALUE!</v>
      </c>
      <c r="AE24" t="e">
        <f t="shared" si="4"/>
        <v>#VALUE!</v>
      </c>
      <c r="AF24" t="e">
        <f t="shared" si="4"/>
        <v>#VALUE!</v>
      </c>
      <c r="AG24" t="e">
        <f t="shared" si="4"/>
        <v>#VALUE!</v>
      </c>
      <c r="AH24" t="e">
        <f t="shared" si="4"/>
        <v>#VALUE!</v>
      </c>
      <c r="AI24" t="e">
        <f t="shared" si="4"/>
        <v>#VALUE!</v>
      </c>
      <c r="AJ24" t="e">
        <f t="shared" si="4"/>
        <v>#VALUE!</v>
      </c>
      <c r="AK24" t="e">
        <f t="shared" si="4"/>
        <v>#VALUE!</v>
      </c>
      <c r="AL24" t="e">
        <f t="shared" si="4"/>
        <v>#VALUE!</v>
      </c>
      <c r="AM24" t="e">
        <f t="shared" si="4"/>
        <v>#VALUE!</v>
      </c>
      <c r="AN24" t="e">
        <f t="shared" si="4"/>
        <v>#VALUE!</v>
      </c>
      <c r="AO24" t="e">
        <f t="shared" si="4"/>
        <v>#VALUE!</v>
      </c>
      <c r="AP24" t="e">
        <f t="shared" si="4"/>
        <v>#VALUE!</v>
      </c>
      <c r="AQ24" t="e">
        <f t="shared" si="4"/>
        <v>#VALUE!</v>
      </c>
      <c r="AR24" t="e">
        <f t="shared" si="4"/>
        <v>#VALUE!</v>
      </c>
      <c r="AS24" t="e">
        <f t="shared" si="4"/>
        <v>#VALUE!</v>
      </c>
      <c r="AT24" t="e">
        <f t="shared" si="4"/>
        <v>#VALUE!</v>
      </c>
      <c r="AU24" t="e">
        <f t="shared" si="4"/>
        <v>#VALUE!</v>
      </c>
      <c r="AV24" t="e">
        <f t="shared" si="4"/>
        <v>#VALUE!</v>
      </c>
      <c r="AW24" t="e">
        <f t="shared" si="4"/>
        <v>#VALUE!</v>
      </c>
      <c r="AX24" t="e">
        <f t="shared" si="4"/>
        <v>#VALUE!</v>
      </c>
      <c r="AY24" t="e">
        <f t="shared" si="4"/>
        <v>#VALUE!</v>
      </c>
      <c r="AZ24" t="e">
        <f t="shared" si="4"/>
        <v>#VALUE!</v>
      </c>
      <c r="BA24" t="e">
        <f t="shared" si="4"/>
        <v>#VALUE!</v>
      </c>
      <c r="BB24" t="e">
        <f t="shared" si="4"/>
        <v>#VALUE!</v>
      </c>
      <c r="BC24" t="e">
        <f t="shared" si="4"/>
        <v>#VALUE!</v>
      </c>
      <c r="BD24" t="e">
        <f t="shared" si="4"/>
        <v>#VALUE!</v>
      </c>
      <c r="BE24" t="e">
        <f t="shared" si="4"/>
        <v>#VALUE!</v>
      </c>
      <c r="BF24" t="e">
        <f t="shared" si="4"/>
        <v>#VALUE!</v>
      </c>
      <c r="BG24" t="e">
        <f t="shared" si="4"/>
        <v>#VALUE!</v>
      </c>
      <c r="BH24" t="e">
        <f t="shared" si="4"/>
        <v>#VALUE!</v>
      </c>
      <c r="BI24" t="e">
        <f t="shared" si="4"/>
        <v>#VALUE!</v>
      </c>
      <c r="BJ24" t="e">
        <f t="shared" si="4"/>
        <v>#VALUE!</v>
      </c>
      <c r="BK24" t="e">
        <f t="shared" si="4"/>
        <v>#VALUE!</v>
      </c>
      <c r="BL24" t="e">
        <f t="shared" si="4"/>
        <v>#VALUE!</v>
      </c>
      <c r="BM24" t="e">
        <f t="shared" si="4"/>
        <v>#VALUE!</v>
      </c>
      <c r="BN24" t="e">
        <f t="shared" si="4"/>
        <v>#VALUE!</v>
      </c>
      <c r="BO24" t="e">
        <f t="shared" si="4"/>
        <v>#VALUE!</v>
      </c>
      <c r="BP24" t="e">
        <f t="shared" si="4"/>
        <v>#VALUE!</v>
      </c>
      <c r="BQ24" t="e">
        <f t="shared" si="4"/>
        <v>#VALUE!</v>
      </c>
      <c r="BR24" t="e">
        <f t="shared" si="4"/>
        <v>#VALUE!</v>
      </c>
      <c r="BS24" t="e">
        <f t="shared" si="2"/>
        <v>#VALUE!</v>
      </c>
      <c r="BT24" t="e">
        <f t="shared" si="2"/>
        <v>#VALUE!</v>
      </c>
      <c r="BU24" t="e">
        <f t="shared" si="2"/>
        <v>#VALUE!</v>
      </c>
      <c r="BV24" t="e">
        <f t="shared" si="2"/>
        <v>#VALUE!</v>
      </c>
      <c r="BW24" t="e">
        <f t="shared" si="2"/>
        <v>#VALUE!</v>
      </c>
      <c r="BX24" t="e">
        <f t="shared" si="2"/>
        <v>#VALUE!</v>
      </c>
      <c r="BY24" t="e">
        <f t="shared" si="2"/>
        <v>#VALUE!</v>
      </c>
      <c r="BZ24" t="e">
        <f t="shared" si="2"/>
        <v>#VALUE!</v>
      </c>
      <c r="CA24" t="e">
        <f t="shared" si="2"/>
        <v>#VALUE!</v>
      </c>
      <c r="CB24" t="e">
        <f t="shared" si="2"/>
        <v>#VALUE!</v>
      </c>
      <c r="CC24" t="e">
        <f t="shared" si="2"/>
        <v>#VALUE!</v>
      </c>
      <c r="CD24" t="e">
        <f t="shared" si="2"/>
        <v>#VALUE!</v>
      </c>
      <c r="CE24" t="e">
        <f t="shared" si="2"/>
        <v>#VALUE!</v>
      </c>
      <c r="CF24" t="e">
        <f t="shared" si="2"/>
        <v>#VALUE!</v>
      </c>
      <c r="CG24" t="e">
        <f t="shared" si="2"/>
        <v>#VALUE!</v>
      </c>
      <c r="CH24" t="e">
        <f t="shared" si="2"/>
        <v>#VALUE!</v>
      </c>
      <c r="CI24" t="e">
        <f t="shared" si="2"/>
        <v>#VALUE!</v>
      </c>
      <c r="CJ24" t="e">
        <f t="shared" si="2"/>
        <v>#VALUE!</v>
      </c>
      <c r="CK24" t="e">
        <f t="shared" si="2"/>
        <v>#VALUE!</v>
      </c>
      <c r="CL24" t="e">
        <f t="shared" si="2"/>
        <v>#VALUE!</v>
      </c>
      <c r="CM24" t="e">
        <f t="shared" si="2"/>
        <v>#VALUE!</v>
      </c>
      <c r="CN24" t="e">
        <f t="shared" si="2"/>
        <v>#VALUE!</v>
      </c>
      <c r="CO24" t="e">
        <f t="shared" si="2"/>
        <v>#VALUE!</v>
      </c>
      <c r="CP24" t="e">
        <f t="shared" si="2"/>
        <v>#VALUE!</v>
      </c>
      <c r="CQ24" t="e">
        <f t="shared" si="2"/>
        <v>#VALUE!</v>
      </c>
      <c r="CR24" t="e">
        <f t="shared" si="2"/>
        <v>#VALUE!</v>
      </c>
      <c r="CS24" t="e">
        <f t="shared" si="2"/>
        <v>#VALUE!</v>
      </c>
      <c r="CT24" t="e">
        <f t="shared" si="2"/>
        <v>#VALUE!</v>
      </c>
      <c r="CU24" t="e">
        <f t="shared" si="2"/>
        <v>#VALUE!</v>
      </c>
      <c r="CV24" t="e">
        <f t="shared" si="2"/>
        <v>#VALUE!</v>
      </c>
      <c r="CW24" t="e">
        <f t="shared" si="2"/>
        <v>#VALUE!</v>
      </c>
      <c r="CX24" t="e">
        <f t="shared" si="2"/>
        <v>#VALUE!</v>
      </c>
      <c r="CY24" t="e">
        <f t="shared" si="2"/>
        <v>#VALUE!</v>
      </c>
      <c r="CZ24" t="e">
        <f t="shared" si="2"/>
        <v>#VALUE!</v>
      </c>
      <c r="DA24" t="e">
        <f t="shared" si="2"/>
        <v>#VALUE!</v>
      </c>
      <c r="DB24" t="e">
        <f t="shared" si="2"/>
        <v>#VALUE!</v>
      </c>
    </row>
    <row r="25" spans="1:106" x14ac:dyDescent="0.25">
      <c r="A25" s="17"/>
      <c r="B25" s="17"/>
      <c r="C25" t="s">
        <v>57</v>
      </c>
      <c r="F25" t="e">
        <f t="shared" si="0"/>
        <v>#VALUE!</v>
      </c>
      <c r="G25" t="e">
        <f t="shared" si="4"/>
        <v>#VALUE!</v>
      </c>
      <c r="H25" t="e">
        <f t="shared" si="4"/>
        <v>#VALUE!</v>
      </c>
      <c r="I25" t="e">
        <f t="shared" si="4"/>
        <v>#VALUE!</v>
      </c>
      <c r="J25" t="e">
        <f t="shared" si="4"/>
        <v>#VALUE!</v>
      </c>
      <c r="K25" t="e">
        <f t="shared" si="4"/>
        <v>#VALUE!</v>
      </c>
      <c r="L25" t="e">
        <f t="shared" si="4"/>
        <v>#VALUE!</v>
      </c>
      <c r="M25" t="e">
        <f t="shared" si="4"/>
        <v>#VALUE!</v>
      </c>
      <c r="N25" t="e">
        <f t="shared" si="4"/>
        <v>#VALUE!</v>
      </c>
      <c r="O25" t="e">
        <f t="shared" si="4"/>
        <v>#VALUE!</v>
      </c>
      <c r="P25" t="e">
        <f t="shared" si="4"/>
        <v>#VALUE!</v>
      </c>
      <c r="Q25" t="e">
        <f t="shared" si="4"/>
        <v>#VALUE!</v>
      </c>
      <c r="R25" t="e">
        <f t="shared" si="4"/>
        <v>#VALUE!</v>
      </c>
      <c r="S25" t="e">
        <f t="shared" si="4"/>
        <v>#VALUE!</v>
      </c>
      <c r="T25" t="e">
        <f t="shared" si="4"/>
        <v>#VALUE!</v>
      </c>
      <c r="U25" t="e">
        <f t="shared" si="4"/>
        <v>#VALUE!</v>
      </c>
      <c r="V25" t="e">
        <f t="shared" si="4"/>
        <v>#VALUE!</v>
      </c>
      <c r="W25" t="e">
        <f t="shared" si="4"/>
        <v>#VALUE!</v>
      </c>
      <c r="X25" t="e">
        <f t="shared" si="4"/>
        <v>#VALUE!</v>
      </c>
      <c r="Y25" t="e">
        <f t="shared" si="4"/>
        <v>#VALUE!</v>
      </c>
      <c r="Z25" t="e">
        <f t="shared" si="4"/>
        <v>#VALUE!</v>
      </c>
      <c r="AA25" t="e">
        <f t="shared" si="4"/>
        <v>#VALUE!</v>
      </c>
      <c r="AB25" t="e">
        <f t="shared" si="4"/>
        <v>#VALUE!</v>
      </c>
      <c r="AC25" t="e">
        <f t="shared" si="4"/>
        <v>#VALUE!</v>
      </c>
      <c r="AD25" t="e">
        <f t="shared" si="4"/>
        <v>#VALUE!</v>
      </c>
      <c r="AE25" t="e">
        <f t="shared" si="4"/>
        <v>#VALUE!</v>
      </c>
      <c r="AF25" t="e">
        <f t="shared" si="4"/>
        <v>#VALUE!</v>
      </c>
      <c r="AG25" t="e">
        <f t="shared" si="4"/>
        <v>#VALUE!</v>
      </c>
      <c r="AH25" t="e">
        <f t="shared" si="4"/>
        <v>#VALUE!</v>
      </c>
      <c r="AI25" t="e">
        <f t="shared" si="4"/>
        <v>#VALUE!</v>
      </c>
      <c r="AJ25" t="e">
        <f t="shared" si="4"/>
        <v>#VALUE!</v>
      </c>
      <c r="AK25" t="e">
        <f t="shared" si="4"/>
        <v>#VALUE!</v>
      </c>
      <c r="AL25" t="e">
        <f t="shared" si="4"/>
        <v>#VALUE!</v>
      </c>
      <c r="AM25" t="e">
        <f t="shared" si="4"/>
        <v>#VALUE!</v>
      </c>
      <c r="AN25" t="e">
        <f t="shared" si="4"/>
        <v>#VALUE!</v>
      </c>
      <c r="AO25" t="e">
        <f t="shared" si="4"/>
        <v>#VALUE!</v>
      </c>
      <c r="AP25" t="e">
        <f t="shared" si="4"/>
        <v>#VALUE!</v>
      </c>
      <c r="AQ25" t="e">
        <f t="shared" si="4"/>
        <v>#VALUE!</v>
      </c>
      <c r="AR25" t="e">
        <f t="shared" si="4"/>
        <v>#VALUE!</v>
      </c>
      <c r="AS25" t="e">
        <f t="shared" si="4"/>
        <v>#VALUE!</v>
      </c>
      <c r="AT25" t="e">
        <f t="shared" si="4"/>
        <v>#VALUE!</v>
      </c>
      <c r="AU25" t="e">
        <f t="shared" si="4"/>
        <v>#VALUE!</v>
      </c>
      <c r="AV25" t="e">
        <f t="shared" si="4"/>
        <v>#VALUE!</v>
      </c>
      <c r="AW25" t="e">
        <f t="shared" si="4"/>
        <v>#VALUE!</v>
      </c>
      <c r="AX25" t="e">
        <f t="shared" si="4"/>
        <v>#VALUE!</v>
      </c>
      <c r="AY25" t="e">
        <f t="shared" si="4"/>
        <v>#VALUE!</v>
      </c>
      <c r="AZ25" t="e">
        <f t="shared" si="4"/>
        <v>#VALUE!</v>
      </c>
      <c r="BA25" t="e">
        <f t="shared" si="4"/>
        <v>#VALUE!</v>
      </c>
      <c r="BB25" t="e">
        <f t="shared" si="4"/>
        <v>#VALUE!</v>
      </c>
      <c r="BC25" t="e">
        <f t="shared" si="4"/>
        <v>#VALUE!</v>
      </c>
      <c r="BD25" t="e">
        <f t="shared" si="4"/>
        <v>#VALUE!</v>
      </c>
      <c r="BE25" t="e">
        <f t="shared" si="4"/>
        <v>#VALUE!</v>
      </c>
      <c r="BF25" t="e">
        <f t="shared" si="4"/>
        <v>#VALUE!</v>
      </c>
      <c r="BG25" t="e">
        <f t="shared" si="4"/>
        <v>#VALUE!</v>
      </c>
      <c r="BH25" t="e">
        <f t="shared" si="4"/>
        <v>#VALUE!</v>
      </c>
      <c r="BI25" t="e">
        <f t="shared" si="4"/>
        <v>#VALUE!</v>
      </c>
      <c r="BJ25" t="e">
        <f t="shared" si="4"/>
        <v>#VALUE!</v>
      </c>
      <c r="BK25" t="e">
        <f t="shared" si="4"/>
        <v>#VALUE!</v>
      </c>
      <c r="BL25" t="e">
        <f t="shared" si="4"/>
        <v>#VALUE!</v>
      </c>
      <c r="BM25" t="e">
        <f t="shared" si="4"/>
        <v>#VALUE!</v>
      </c>
      <c r="BN25" t="e">
        <f t="shared" si="4"/>
        <v>#VALUE!</v>
      </c>
      <c r="BO25" t="e">
        <f t="shared" si="4"/>
        <v>#VALUE!</v>
      </c>
      <c r="BP25" t="e">
        <f t="shared" si="4"/>
        <v>#VALUE!</v>
      </c>
      <c r="BQ25" t="e">
        <f t="shared" si="4"/>
        <v>#VALUE!</v>
      </c>
      <c r="BR25" t="e">
        <f t="shared" ref="BR25:DB28" si="5">CHOOSE($C$16,BR43,BR56,BR69,BR82,BR95,BR108,BR121,BR134,BR147)</f>
        <v>#VALUE!</v>
      </c>
      <c r="BS25" t="e">
        <f t="shared" si="5"/>
        <v>#VALUE!</v>
      </c>
      <c r="BT25" t="e">
        <f t="shared" si="5"/>
        <v>#VALUE!</v>
      </c>
      <c r="BU25" t="e">
        <f t="shared" si="5"/>
        <v>#VALUE!</v>
      </c>
      <c r="BV25" t="e">
        <f t="shared" si="5"/>
        <v>#VALUE!</v>
      </c>
      <c r="BW25" t="e">
        <f t="shared" si="5"/>
        <v>#VALUE!</v>
      </c>
      <c r="BX25" t="e">
        <f t="shared" si="5"/>
        <v>#VALUE!</v>
      </c>
      <c r="BY25" t="e">
        <f t="shared" si="5"/>
        <v>#VALUE!</v>
      </c>
      <c r="BZ25" t="e">
        <f t="shared" si="5"/>
        <v>#VALUE!</v>
      </c>
      <c r="CA25" t="e">
        <f t="shared" si="5"/>
        <v>#VALUE!</v>
      </c>
      <c r="CB25" t="e">
        <f t="shared" si="5"/>
        <v>#VALUE!</v>
      </c>
      <c r="CC25" t="e">
        <f t="shared" si="5"/>
        <v>#VALUE!</v>
      </c>
      <c r="CD25" t="e">
        <f t="shared" si="5"/>
        <v>#VALUE!</v>
      </c>
      <c r="CE25" t="e">
        <f t="shared" si="5"/>
        <v>#VALUE!</v>
      </c>
      <c r="CF25" t="e">
        <f t="shared" si="5"/>
        <v>#VALUE!</v>
      </c>
      <c r="CG25" t="e">
        <f t="shared" si="5"/>
        <v>#VALUE!</v>
      </c>
      <c r="CH25" t="e">
        <f t="shared" si="5"/>
        <v>#VALUE!</v>
      </c>
      <c r="CI25" t="e">
        <f t="shared" si="5"/>
        <v>#VALUE!</v>
      </c>
      <c r="CJ25" t="e">
        <f t="shared" si="5"/>
        <v>#VALUE!</v>
      </c>
      <c r="CK25" t="e">
        <f t="shared" si="5"/>
        <v>#VALUE!</v>
      </c>
      <c r="CL25" t="e">
        <f t="shared" si="5"/>
        <v>#VALUE!</v>
      </c>
      <c r="CM25" t="e">
        <f t="shared" si="5"/>
        <v>#VALUE!</v>
      </c>
      <c r="CN25" t="e">
        <f t="shared" si="5"/>
        <v>#VALUE!</v>
      </c>
      <c r="CO25" t="e">
        <f t="shared" si="5"/>
        <v>#VALUE!</v>
      </c>
      <c r="CP25" t="e">
        <f t="shared" si="5"/>
        <v>#VALUE!</v>
      </c>
      <c r="CQ25" t="e">
        <f t="shared" si="5"/>
        <v>#VALUE!</v>
      </c>
      <c r="CR25" t="e">
        <f t="shared" si="5"/>
        <v>#VALUE!</v>
      </c>
      <c r="CS25" t="e">
        <f t="shared" si="5"/>
        <v>#VALUE!</v>
      </c>
      <c r="CT25" t="e">
        <f t="shared" si="5"/>
        <v>#VALUE!</v>
      </c>
      <c r="CU25" t="e">
        <f t="shared" si="5"/>
        <v>#VALUE!</v>
      </c>
      <c r="CV25" t="e">
        <f t="shared" si="5"/>
        <v>#VALUE!</v>
      </c>
      <c r="CW25" t="e">
        <f t="shared" si="5"/>
        <v>#VALUE!</v>
      </c>
      <c r="CX25" t="e">
        <f t="shared" si="5"/>
        <v>#VALUE!</v>
      </c>
      <c r="CY25" t="e">
        <f t="shared" si="5"/>
        <v>#VALUE!</v>
      </c>
      <c r="CZ25" t="e">
        <f t="shared" si="5"/>
        <v>#VALUE!</v>
      </c>
      <c r="DA25" t="e">
        <f t="shared" si="5"/>
        <v>#VALUE!</v>
      </c>
      <c r="DB25" t="e">
        <f t="shared" si="5"/>
        <v>#VALUE!</v>
      </c>
    </row>
    <row r="26" spans="1:106" x14ac:dyDescent="0.25">
      <c r="A26" s="17"/>
      <c r="B26" s="17"/>
      <c r="C26" t="s">
        <v>58</v>
      </c>
      <c r="F26" t="e">
        <f t="shared" si="0"/>
        <v>#VALUE!</v>
      </c>
      <c r="G26" t="e">
        <f t="shared" ref="G26:BR29" si="6">CHOOSE($C$16,G44,G57,G70,G83,G96,G109,G122,G135,G148)</f>
        <v>#VALUE!</v>
      </c>
      <c r="H26" t="e">
        <f t="shared" si="6"/>
        <v>#VALUE!</v>
      </c>
      <c r="I26" t="e">
        <f t="shared" si="6"/>
        <v>#VALUE!</v>
      </c>
      <c r="J26" t="e">
        <f t="shared" si="6"/>
        <v>#VALUE!</v>
      </c>
      <c r="K26" t="e">
        <f t="shared" si="6"/>
        <v>#VALUE!</v>
      </c>
      <c r="L26" t="e">
        <f t="shared" si="6"/>
        <v>#VALUE!</v>
      </c>
      <c r="M26" t="e">
        <f t="shared" si="6"/>
        <v>#VALUE!</v>
      </c>
      <c r="N26" t="e">
        <f t="shared" si="6"/>
        <v>#VALUE!</v>
      </c>
      <c r="O26" t="e">
        <f t="shared" si="6"/>
        <v>#VALUE!</v>
      </c>
      <c r="P26" t="e">
        <f t="shared" si="6"/>
        <v>#VALUE!</v>
      </c>
      <c r="Q26" t="e">
        <f t="shared" si="6"/>
        <v>#VALUE!</v>
      </c>
      <c r="R26" t="e">
        <f t="shared" si="6"/>
        <v>#VALUE!</v>
      </c>
      <c r="S26" t="e">
        <f t="shared" si="6"/>
        <v>#VALUE!</v>
      </c>
      <c r="T26" t="e">
        <f t="shared" si="6"/>
        <v>#VALUE!</v>
      </c>
      <c r="U26" t="e">
        <f t="shared" si="6"/>
        <v>#VALUE!</v>
      </c>
      <c r="V26" t="e">
        <f t="shared" si="6"/>
        <v>#VALUE!</v>
      </c>
      <c r="W26" t="e">
        <f t="shared" si="6"/>
        <v>#VALUE!</v>
      </c>
      <c r="X26" t="e">
        <f t="shared" si="6"/>
        <v>#VALUE!</v>
      </c>
      <c r="Y26" t="e">
        <f t="shared" si="6"/>
        <v>#VALUE!</v>
      </c>
      <c r="Z26" t="e">
        <f t="shared" si="6"/>
        <v>#VALUE!</v>
      </c>
      <c r="AA26" t="e">
        <f t="shared" si="6"/>
        <v>#VALUE!</v>
      </c>
      <c r="AB26" t="e">
        <f t="shared" si="6"/>
        <v>#VALUE!</v>
      </c>
      <c r="AC26" t="e">
        <f t="shared" si="6"/>
        <v>#VALUE!</v>
      </c>
      <c r="AD26" t="e">
        <f t="shared" si="6"/>
        <v>#VALUE!</v>
      </c>
      <c r="AE26" t="e">
        <f t="shared" si="6"/>
        <v>#VALUE!</v>
      </c>
      <c r="AF26" t="e">
        <f t="shared" si="6"/>
        <v>#VALUE!</v>
      </c>
      <c r="AG26" t="e">
        <f t="shared" si="6"/>
        <v>#VALUE!</v>
      </c>
      <c r="AH26" t="e">
        <f t="shared" si="6"/>
        <v>#VALUE!</v>
      </c>
      <c r="AI26" t="e">
        <f t="shared" si="6"/>
        <v>#VALUE!</v>
      </c>
      <c r="AJ26" t="e">
        <f t="shared" si="6"/>
        <v>#VALUE!</v>
      </c>
      <c r="AK26" t="e">
        <f t="shared" si="6"/>
        <v>#VALUE!</v>
      </c>
      <c r="AL26" t="e">
        <f t="shared" si="6"/>
        <v>#VALUE!</v>
      </c>
      <c r="AM26" t="e">
        <f t="shared" si="6"/>
        <v>#VALUE!</v>
      </c>
      <c r="AN26" t="e">
        <f t="shared" si="6"/>
        <v>#VALUE!</v>
      </c>
      <c r="AO26" t="e">
        <f t="shared" si="6"/>
        <v>#VALUE!</v>
      </c>
      <c r="AP26" t="e">
        <f t="shared" si="6"/>
        <v>#VALUE!</v>
      </c>
      <c r="AQ26" t="e">
        <f t="shared" si="6"/>
        <v>#VALUE!</v>
      </c>
      <c r="AR26" t="e">
        <f t="shared" si="6"/>
        <v>#VALUE!</v>
      </c>
      <c r="AS26" t="e">
        <f t="shared" si="6"/>
        <v>#VALUE!</v>
      </c>
      <c r="AT26" t="e">
        <f t="shared" si="6"/>
        <v>#VALUE!</v>
      </c>
      <c r="AU26" t="e">
        <f t="shared" si="6"/>
        <v>#VALUE!</v>
      </c>
      <c r="AV26" t="e">
        <f t="shared" si="6"/>
        <v>#VALUE!</v>
      </c>
      <c r="AW26" t="e">
        <f t="shared" si="6"/>
        <v>#VALUE!</v>
      </c>
      <c r="AX26" t="e">
        <f t="shared" si="6"/>
        <v>#VALUE!</v>
      </c>
      <c r="AY26" t="e">
        <f t="shared" si="6"/>
        <v>#VALUE!</v>
      </c>
      <c r="AZ26" t="e">
        <f t="shared" si="6"/>
        <v>#VALUE!</v>
      </c>
      <c r="BA26" t="e">
        <f t="shared" si="6"/>
        <v>#VALUE!</v>
      </c>
      <c r="BB26" t="e">
        <f t="shared" si="6"/>
        <v>#VALUE!</v>
      </c>
      <c r="BC26" t="e">
        <f t="shared" si="6"/>
        <v>#VALUE!</v>
      </c>
      <c r="BD26" t="e">
        <f t="shared" si="6"/>
        <v>#VALUE!</v>
      </c>
      <c r="BE26" t="e">
        <f t="shared" si="6"/>
        <v>#VALUE!</v>
      </c>
      <c r="BF26" t="e">
        <f t="shared" si="6"/>
        <v>#VALUE!</v>
      </c>
      <c r="BG26" t="e">
        <f t="shared" si="6"/>
        <v>#VALUE!</v>
      </c>
      <c r="BH26" t="e">
        <f t="shared" si="6"/>
        <v>#VALUE!</v>
      </c>
      <c r="BI26" t="e">
        <f t="shared" si="6"/>
        <v>#VALUE!</v>
      </c>
      <c r="BJ26" t="e">
        <f t="shared" si="6"/>
        <v>#VALUE!</v>
      </c>
      <c r="BK26" t="e">
        <f t="shared" si="6"/>
        <v>#VALUE!</v>
      </c>
      <c r="BL26" t="e">
        <f t="shared" si="6"/>
        <v>#VALUE!</v>
      </c>
      <c r="BM26" t="e">
        <f t="shared" si="6"/>
        <v>#VALUE!</v>
      </c>
      <c r="BN26" t="e">
        <f t="shared" si="6"/>
        <v>#VALUE!</v>
      </c>
      <c r="BO26" t="e">
        <f t="shared" si="6"/>
        <v>#VALUE!</v>
      </c>
      <c r="BP26" t="e">
        <f t="shared" si="6"/>
        <v>#VALUE!</v>
      </c>
      <c r="BQ26" t="e">
        <f t="shared" si="6"/>
        <v>#VALUE!</v>
      </c>
      <c r="BR26" t="e">
        <f t="shared" si="6"/>
        <v>#VALUE!</v>
      </c>
      <c r="BS26" t="e">
        <f t="shared" si="5"/>
        <v>#VALUE!</v>
      </c>
      <c r="BT26" t="e">
        <f t="shared" si="5"/>
        <v>#VALUE!</v>
      </c>
      <c r="BU26" t="e">
        <f t="shared" si="5"/>
        <v>#VALUE!</v>
      </c>
      <c r="BV26" t="e">
        <f t="shared" si="5"/>
        <v>#VALUE!</v>
      </c>
      <c r="BW26" t="e">
        <f t="shared" si="5"/>
        <v>#VALUE!</v>
      </c>
      <c r="BX26" t="e">
        <f t="shared" si="5"/>
        <v>#VALUE!</v>
      </c>
      <c r="BY26" t="e">
        <f t="shared" si="5"/>
        <v>#VALUE!</v>
      </c>
      <c r="BZ26" t="e">
        <f t="shared" si="5"/>
        <v>#VALUE!</v>
      </c>
      <c r="CA26" t="e">
        <f t="shared" si="5"/>
        <v>#VALUE!</v>
      </c>
      <c r="CB26" t="e">
        <f t="shared" si="5"/>
        <v>#VALUE!</v>
      </c>
      <c r="CC26" t="e">
        <f t="shared" si="5"/>
        <v>#VALUE!</v>
      </c>
      <c r="CD26" t="e">
        <f t="shared" si="5"/>
        <v>#VALUE!</v>
      </c>
      <c r="CE26" t="e">
        <f t="shared" si="5"/>
        <v>#VALUE!</v>
      </c>
      <c r="CF26" t="e">
        <f t="shared" si="5"/>
        <v>#VALUE!</v>
      </c>
      <c r="CG26" t="e">
        <f t="shared" si="5"/>
        <v>#VALUE!</v>
      </c>
      <c r="CH26" t="e">
        <f t="shared" si="5"/>
        <v>#VALUE!</v>
      </c>
      <c r="CI26" t="e">
        <f t="shared" si="5"/>
        <v>#VALUE!</v>
      </c>
      <c r="CJ26" t="e">
        <f t="shared" si="5"/>
        <v>#VALUE!</v>
      </c>
      <c r="CK26" t="e">
        <f t="shared" si="5"/>
        <v>#VALUE!</v>
      </c>
      <c r="CL26" t="e">
        <f t="shared" si="5"/>
        <v>#VALUE!</v>
      </c>
      <c r="CM26" t="e">
        <f t="shared" si="5"/>
        <v>#VALUE!</v>
      </c>
      <c r="CN26" t="e">
        <f t="shared" si="5"/>
        <v>#VALUE!</v>
      </c>
      <c r="CO26" t="e">
        <f t="shared" si="5"/>
        <v>#VALUE!</v>
      </c>
      <c r="CP26" t="e">
        <f t="shared" si="5"/>
        <v>#VALUE!</v>
      </c>
      <c r="CQ26" t="e">
        <f t="shared" si="5"/>
        <v>#VALUE!</v>
      </c>
      <c r="CR26" t="e">
        <f t="shared" si="5"/>
        <v>#VALUE!</v>
      </c>
      <c r="CS26" t="e">
        <f t="shared" si="5"/>
        <v>#VALUE!</v>
      </c>
      <c r="CT26" t="e">
        <f t="shared" si="5"/>
        <v>#VALUE!</v>
      </c>
      <c r="CU26" t="e">
        <f t="shared" si="5"/>
        <v>#VALUE!</v>
      </c>
      <c r="CV26" t="e">
        <f t="shared" si="5"/>
        <v>#VALUE!</v>
      </c>
      <c r="CW26" t="e">
        <f t="shared" si="5"/>
        <v>#VALUE!</v>
      </c>
      <c r="CX26" t="e">
        <f t="shared" si="5"/>
        <v>#VALUE!</v>
      </c>
      <c r="CY26" t="e">
        <f t="shared" si="5"/>
        <v>#VALUE!</v>
      </c>
      <c r="CZ26" t="e">
        <f t="shared" si="5"/>
        <v>#VALUE!</v>
      </c>
      <c r="DA26" t="e">
        <f t="shared" si="5"/>
        <v>#VALUE!</v>
      </c>
      <c r="DB26" t="e">
        <f t="shared" si="5"/>
        <v>#VALUE!</v>
      </c>
    </row>
    <row r="27" spans="1:106" x14ac:dyDescent="0.25">
      <c r="A27" s="17"/>
      <c r="B27" s="17"/>
      <c r="C27" t="s">
        <v>59</v>
      </c>
      <c r="F27" t="e">
        <f t="shared" si="0"/>
        <v>#VALUE!</v>
      </c>
      <c r="G27" t="e">
        <f t="shared" si="6"/>
        <v>#VALUE!</v>
      </c>
      <c r="H27" t="e">
        <f t="shared" si="6"/>
        <v>#VALUE!</v>
      </c>
      <c r="I27" t="e">
        <f t="shared" si="6"/>
        <v>#VALUE!</v>
      </c>
      <c r="J27" t="e">
        <f t="shared" si="6"/>
        <v>#VALUE!</v>
      </c>
      <c r="K27" t="e">
        <f t="shared" si="6"/>
        <v>#VALUE!</v>
      </c>
      <c r="L27" t="e">
        <f t="shared" si="6"/>
        <v>#VALUE!</v>
      </c>
      <c r="M27" t="e">
        <f t="shared" si="6"/>
        <v>#VALUE!</v>
      </c>
      <c r="N27" t="e">
        <f t="shared" si="6"/>
        <v>#VALUE!</v>
      </c>
      <c r="O27" t="e">
        <f t="shared" si="6"/>
        <v>#VALUE!</v>
      </c>
      <c r="P27" t="e">
        <f t="shared" si="6"/>
        <v>#VALUE!</v>
      </c>
      <c r="Q27" t="e">
        <f t="shared" si="6"/>
        <v>#VALUE!</v>
      </c>
      <c r="R27" t="e">
        <f t="shared" si="6"/>
        <v>#VALUE!</v>
      </c>
      <c r="S27" t="e">
        <f t="shared" si="6"/>
        <v>#VALUE!</v>
      </c>
      <c r="T27" t="e">
        <f t="shared" si="6"/>
        <v>#VALUE!</v>
      </c>
      <c r="U27" t="e">
        <f t="shared" si="6"/>
        <v>#VALUE!</v>
      </c>
      <c r="V27" t="e">
        <f t="shared" si="6"/>
        <v>#VALUE!</v>
      </c>
      <c r="W27" t="e">
        <f t="shared" si="6"/>
        <v>#VALUE!</v>
      </c>
      <c r="X27" t="e">
        <f t="shared" si="6"/>
        <v>#VALUE!</v>
      </c>
      <c r="Y27" t="e">
        <f t="shared" si="6"/>
        <v>#VALUE!</v>
      </c>
      <c r="Z27" t="e">
        <f t="shared" si="6"/>
        <v>#VALUE!</v>
      </c>
      <c r="AA27" t="e">
        <f t="shared" si="6"/>
        <v>#VALUE!</v>
      </c>
      <c r="AB27" t="e">
        <f t="shared" si="6"/>
        <v>#VALUE!</v>
      </c>
      <c r="AC27" t="e">
        <f t="shared" si="6"/>
        <v>#VALUE!</v>
      </c>
      <c r="AD27" t="e">
        <f t="shared" si="6"/>
        <v>#VALUE!</v>
      </c>
      <c r="AE27" t="e">
        <f t="shared" si="6"/>
        <v>#VALUE!</v>
      </c>
      <c r="AF27" t="e">
        <f t="shared" si="6"/>
        <v>#VALUE!</v>
      </c>
      <c r="AG27" t="e">
        <f t="shared" si="6"/>
        <v>#VALUE!</v>
      </c>
      <c r="AH27" t="e">
        <f t="shared" si="6"/>
        <v>#VALUE!</v>
      </c>
      <c r="AI27" t="e">
        <f t="shared" si="6"/>
        <v>#VALUE!</v>
      </c>
      <c r="AJ27" t="e">
        <f t="shared" si="6"/>
        <v>#VALUE!</v>
      </c>
      <c r="AK27" t="e">
        <f t="shared" si="6"/>
        <v>#VALUE!</v>
      </c>
      <c r="AL27" t="e">
        <f t="shared" si="6"/>
        <v>#VALUE!</v>
      </c>
      <c r="AM27" t="e">
        <f t="shared" si="6"/>
        <v>#VALUE!</v>
      </c>
      <c r="AN27" t="e">
        <f t="shared" si="6"/>
        <v>#VALUE!</v>
      </c>
      <c r="AO27" t="e">
        <f t="shared" si="6"/>
        <v>#VALUE!</v>
      </c>
      <c r="AP27" t="e">
        <f t="shared" si="6"/>
        <v>#VALUE!</v>
      </c>
      <c r="AQ27" t="e">
        <f t="shared" si="6"/>
        <v>#VALUE!</v>
      </c>
      <c r="AR27" t="e">
        <f t="shared" si="6"/>
        <v>#VALUE!</v>
      </c>
      <c r="AS27" t="e">
        <f t="shared" si="6"/>
        <v>#VALUE!</v>
      </c>
      <c r="AT27" t="e">
        <f t="shared" si="6"/>
        <v>#VALUE!</v>
      </c>
      <c r="AU27" t="e">
        <f t="shared" si="6"/>
        <v>#VALUE!</v>
      </c>
      <c r="AV27" t="e">
        <f t="shared" si="6"/>
        <v>#VALUE!</v>
      </c>
      <c r="AW27" t="e">
        <f t="shared" si="6"/>
        <v>#VALUE!</v>
      </c>
      <c r="AX27" t="e">
        <f t="shared" si="6"/>
        <v>#VALUE!</v>
      </c>
      <c r="AY27" t="e">
        <f t="shared" si="6"/>
        <v>#VALUE!</v>
      </c>
      <c r="AZ27" t="e">
        <f t="shared" si="6"/>
        <v>#VALUE!</v>
      </c>
      <c r="BA27" t="e">
        <f t="shared" si="6"/>
        <v>#VALUE!</v>
      </c>
      <c r="BB27" t="e">
        <f t="shared" si="6"/>
        <v>#VALUE!</v>
      </c>
      <c r="BC27" t="e">
        <f t="shared" si="6"/>
        <v>#VALUE!</v>
      </c>
      <c r="BD27" t="e">
        <f t="shared" si="6"/>
        <v>#VALUE!</v>
      </c>
      <c r="BE27" t="e">
        <f t="shared" si="6"/>
        <v>#VALUE!</v>
      </c>
      <c r="BF27" t="e">
        <f t="shared" si="6"/>
        <v>#VALUE!</v>
      </c>
      <c r="BG27" t="e">
        <f t="shared" si="6"/>
        <v>#VALUE!</v>
      </c>
      <c r="BH27" t="e">
        <f t="shared" si="6"/>
        <v>#VALUE!</v>
      </c>
      <c r="BI27" t="e">
        <f t="shared" si="6"/>
        <v>#VALUE!</v>
      </c>
      <c r="BJ27" t="e">
        <f t="shared" si="6"/>
        <v>#VALUE!</v>
      </c>
      <c r="BK27" t="e">
        <f t="shared" si="6"/>
        <v>#VALUE!</v>
      </c>
      <c r="BL27" t="e">
        <f t="shared" si="6"/>
        <v>#VALUE!</v>
      </c>
      <c r="BM27" t="e">
        <f t="shared" si="6"/>
        <v>#VALUE!</v>
      </c>
      <c r="BN27" t="e">
        <f t="shared" si="6"/>
        <v>#VALUE!</v>
      </c>
      <c r="BO27" t="e">
        <f t="shared" si="6"/>
        <v>#VALUE!</v>
      </c>
      <c r="BP27" t="e">
        <f t="shared" si="6"/>
        <v>#VALUE!</v>
      </c>
      <c r="BQ27" t="e">
        <f t="shared" si="6"/>
        <v>#VALUE!</v>
      </c>
      <c r="BR27" t="e">
        <f t="shared" si="6"/>
        <v>#VALUE!</v>
      </c>
      <c r="BS27" t="e">
        <f t="shared" si="5"/>
        <v>#VALUE!</v>
      </c>
      <c r="BT27" t="e">
        <f t="shared" si="5"/>
        <v>#VALUE!</v>
      </c>
      <c r="BU27" t="e">
        <f t="shared" si="5"/>
        <v>#VALUE!</v>
      </c>
      <c r="BV27" t="e">
        <f t="shared" si="5"/>
        <v>#VALUE!</v>
      </c>
      <c r="BW27" t="e">
        <f t="shared" si="5"/>
        <v>#VALUE!</v>
      </c>
      <c r="BX27" t="e">
        <f t="shared" si="5"/>
        <v>#VALUE!</v>
      </c>
      <c r="BY27" t="e">
        <f t="shared" si="5"/>
        <v>#VALUE!</v>
      </c>
      <c r="BZ27" t="e">
        <f t="shared" si="5"/>
        <v>#VALUE!</v>
      </c>
      <c r="CA27" t="e">
        <f t="shared" si="5"/>
        <v>#VALUE!</v>
      </c>
      <c r="CB27" t="e">
        <f t="shared" si="5"/>
        <v>#VALUE!</v>
      </c>
      <c r="CC27" t="e">
        <f t="shared" si="5"/>
        <v>#VALUE!</v>
      </c>
      <c r="CD27" t="e">
        <f t="shared" si="5"/>
        <v>#VALUE!</v>
      </c>
      <c r="CE27" t="e">
        <f t="shared" si="5"/>
        <v>#VALUE!</v>
      </c>
      <c r="CF27" t="e">
        <f t="shared" si="5"/>
        <v>#VALUE!</v>
      </c>
      <c r="CG27" t="e">
        <f t="shared" si="5"/>
        <v>#VALUE!</v>
      </c>
      <c r="CH27" t="e">
        <f t="shared" si="5"/>
        <v>#VALUE!</v>
      </c>
      <c r="CI27" t="e">
        <f t="shared" si="5"/>
        <v>#VALUE!</v>
      </c>
      <c r="CJ27" t="e">
        <f t="shared" si="5"/>
        <v>#VALUE!</v>
      </c>
      <c r="CK27" t="e">
        <f t="shared" si="5"/>
        <v>#VALUE!</v>
      </c>
      <c r="CL27" t="e">
        <f t="shared" si="5"/>
        <v>#VALUE!</v>
      </c>
      <c r="CM27" t="e">
        <f t="shared" si="5"/>
        <v>#VALUE!</v>
      </c>
      <c r="CN27" t="e">
        <f t="shared" si="5"/>
        <v>#VALUE!</v>
      </c>
      <c r="CO27" t="e">
        <f t="shared" si="5"/>
        <v>#VALUE!</v>
      </c>
      <c r="CP27" t="e">
        <f t="shared" si="5"/>
        <v>#VALUE!</v>
      </c>
      <c r="CQ27" t="e">
        <f t="shared" si="5"/>
        <v>#VALUE!</v>
      </c>
      <c r="CR27" t="e">
        <f t="shared" si="5"/>
        <v>#VALUE!</v>
      </c>
      <c r="CS27" t="e">
        <f t="shared" si="5"/>
        <v>#VALUE!</v>
      </c>
      <c r="CT27" t="e">
        <f t="shared" si="5"/>
        <v>#VALUE!</v>
      </c>
      <c r="CU27" t="e">
        <f t="shared" si="5"/>
        <v>#VALUE!</v>
      </c>
      <c r="CV27" t="e">
        <f t="shared" si="5"/>
        <v>#VALUE!</v>
      </c>
      <c r="CW27" t="e">
        <f t="shared" si="5"/>
        <v>#VALUE!</v>
      </c>
      <c r="CX27" t="e">
        <f t="shared" si="5"/>
        <v>#VALUE!</v>
      </c>
      <c r="CY27" t="e">
        <f t="shared" si="5"/>
        <v>#VALUE!</v>
      </c>
      <c r="CZ27" t="e">
        <f t="shared" si="5"/>
        <v>#VALUE!</v>
      </c>
      <c r="DA27" t="e">
        <f t="shared" si="5"/>
        <v>#VALUE!</v>
      </c>
      <c r="DB27" t="e">
        <f t="shared" si="5"/>
        <v>#VALUE!</v>
      </c>
    </row>
    <row r="28" spans="1:106" x14ac:dyDescent="0.25">
      <c r="A28" s="17"/>
      <c r="B28" s="17"/>
      <c r="C28" t="s">
        <v>60</v>
      </c>
      <c r="F28" t="e">
        <f t="shared" si="0"/>
        <v>#VALUE!</v>
      </c>
      <c r="G28" t="e">
        <f t="shared" si="6"/>
        <v>#VALUE!</v>
      </c>
      <c r="H28" t="e">
        <f t="shared" si="6"/>
        <v>#VALUE!</v>
      </c>
      <c r="I28" t="e">
        <f t="shared" si="6"/>
        <v>#VALUE!</v>
      </c>
      <c r="J28" t="e">
        <f t="shared" si="6"/>
        <v>#VALUE!</v>
      </c>
      <c r="K28" t="e">
        <f t="shared" si="6"/>
        <v>#VALUE!</v>
      </c>
      <c r="L28" t="e">
        <f t="shared" si="6"/>
        <v>#VALUE!</v>
      </c>
      <c r="M28" t="e">
        <f t="shared" si="6"/>
        <v>#VALUE!</v>
      </c>
      <c r="N28" t="e">
        <f t="shared" si="6"/>
        <v>#VALUE!</v>
      </c>
      <c r="O28" t="e">
        <f t="shared" si="6"/>
        <v>#VALUE!</v>
      </c>
      <c r="P28" t="e">
        <f t="shared" si="6"/>
        <v>#VALUE!</v>
      </c>
      <c r="Q28" t="e">
        <f t="shared" si="6"/>
        <v>#VALUE!</v>
      </c>
      <c r="R28" t="e">
        <f t="shared" si="6"/>
        <v>#VALUE!</v>
      </c>
      <c r="S28" t="e">
        <f t="shared" si="6"/>
        <v>#VALUE!</v>
      </c>
      <c r="T28" t="e">
        <f t="shared" si="6"/>
        <v>#VALUE!</v>
      </c>
      <c r="U28" t="e">
        <f t="shared" si="6"/>
        <v>#VALUE!</v>
      </c>
      <c r="V28" t="e">
        <f t="shared" si="6"/>
        <v>#VALUE!</v>
      </c>
      <c r="W28" t="e">
        <f t="shared" si="6"/>
        <v>#VALUE!</v>
      </c>
      <c r="X28" t="e">
        <f t="shared" si="6"/>
        <v>#VALUE!</v>
      </c>
      <c r="Y28" t="e">
        <f t="shared" si="6"/>
        <v>#VALUE!</v>
      </c>
      <c r="Z28" t="e">
        <f t="shared" si="6"/>
        <v>#VALUE!</v>
      </c>
      <c r="AA28" t="e">
        <f t="shared" si="6"/>
        <v>#VALUE!</v>
      </c>
      <c r="AB28" t="e">
        <f t="shared" si="6"/>
        <v>#VALUE!</v>
      </c>
      <c r="AC28" t="e">
        <f t="shared" si="6"/>
        <v>#VALUE!</v>
      </c>
      <c r="AD28" t="e">
        <f t="shared" si="6"/>
        <v>#VALUE!</v>
      </c>
      <c r="AE28" t="e">
        <f t="shared" si="6"/>
        <v>#VALUE!</v>
      </c>
      <c r="AF28" t="e">
        <f t="shared" si="6"/>
        <v>#VALUE!</v>
      </c>
      <c r="AG28" t="e">
        <f t="shared" si="6"/>
        <v>#VALUE!</v>
      </c>
      <c r="AH28" t="e">
        <f t="shared" si="6"/>
        <v>#VALUE!</v>
      </c>
      <c r="AI28" t="e">
        <f t="shared" si="6"/>
        <v>#VALUE!</v>
      </c>
      <c r="AJ28" t="e">
        <f t="shared" si="6"/>
        <v>#VALUE!</v>
      </c>
      <c r="AK28" t="e">
        <f t="shared" si="6"/>
        <v>#VALUE!</v>
      </c>
      <c r="AL28" t="e">
        <f t="shared" si="6"/>
        <v>#VALUE!</v>
      </c>
      <c r="AM28" t="e">
        <f t="shared" si="6"/>
        <v>#VALUE!</v>
      </c>
      <c r="AN28" t="e">
        <f t="shared" si="6"/>
        <v>#VALUE!</v>
      </c>
      <c r="AO28" t="e">
        <f t="shared" si="6"/>
        <v>#VALUE!</v>
      </c>
      <c r="AP28" t="e">
        <f t="shared" si="6"/>
        <v>#VALUE!</v>
      </c>
      <c r="AQ28" t="e">
        <f t="shared" si="6"/>
        <v>#VALUE!</v>
      </c>
      <c r="AR28" t="e">
        <f t="shared" si="6"/>
        <v>#VALUE!</v>
      </c>
      <c r="AS28" t="e">
        <f t="shared" si="6"/>
        <v>#VALUE!</v>
      </c>
      <c r="AT28" t="e">
        <f t="shared" si="6"/>
        <v>#VALUE!</v>
      </c>
      <c r="AU28" t="e">
        <f t="shared" si="6"/>
        <v>#VALUE!</v>
      </c>
      <c r="AV28" t="e">
        <f t="shared" si="6"/>
        <v>#VALUE!</v>
      </c>
      <c r="AW28" t="e">
        <f t="shared" si="6"/>
        <v>#VALUE!</v>
      </c>
      <c r="AX28" t="e">
        <f t="shared" si="6"/>
        <v>#VALUE!</v>
      </c>
      <c r="AY28" t="e">
        <f t="shared" si="6"/>
        <v>#VALUE!</v>
      </c>
      <c r="AZ28" t="e">
        <f t="shared" si="6"/>
        <v>#VALUE!</v>
      </c>
      <c r="BA28" t="e">
        <f t="shared" si="6"/>
        <v>#VALUE!</v>
      </c>
      <c r="BB28" t="e">
        <f t="shared" si="6"/>
        <v>#VALUE!</v>
      </c>
      <c r="BC28" t="e">
        <f t="shared" si="6"/>
        <v>#VALUE!</v>
      </c>
      <c r="BD28" t="e">
        <f t="shared" si="6"/>
        <v>#VALUE!</v>
      </c>
      <c r="BE28" t="e">
        <f t="shared" si="6"/>
        <v>#VALUE!</v>
      </c>
      <c r="BF28" t="e">
        <f t="shared" si="6"/>
        <v>#VALUE!</v>
      </c>
      <c r="BG28" t="e">
        <f t="shared" si="6"/>
        <v>#VALUE!</v>
      </c>
      <c r="BH28" t="e">
        <f t="shared" si="6"/>
        <v>#VALUE!</v>
      </c>
      <c r="BI28" t="e">
        <f t="shared" si="6"/>
        <v>#VALUE!</v>
      </c>
      <c r="BJ28" t="e">
        <f t="shared" si="6"/>
        <v>#VALUE!</v>
      </c>
      <c r="BK28" t="e">
        <f t="shared" si="6"/>
        <v>#VALUE!</v>
      </c>
      <c r="BL28" t="e">
        <f t="shared" si="6"/>
        <v>#VALUE!</v>
      </c>
      <c r="BM28" t="e">
        <f t="shared" si="6"/>
        <v>#VALUE!</v>
      </c>
      <c r="BN28" t="e">
        <f t="shared" si="6"/>
        <v>#VALUE!</v>
      </c>
      <c r="BO28" t="e">
        <f t="shared" si="6"/>
        <v>#VALUE!</v>
      </c>
      <c r="BP28" t="e">
        <f t="shared" si="6"/>
        <v>#VALUE!</v>
      </c>
      <c r="BQ28" t="e">
        <f t="shared" si="6"/>
        <v>#VALUE!</v>
      </c>
      <c r="BR28" t="e">
        <f t="shared" si="6"/>
        <v>#VALUE!</v>
      </c>
      <c r="BS28" t="e">
        <f t="shared" si="5"/>
        <v>#VALUE!</v>
      </c>
      <c r="BT28" t="e">
        <f t="shared" si="5"/>
        <v>#VALUE!</v>
      </c>
      <c r="BU28" t="e">
        <f t="shared" si="5"/>
        <v>#VALUE!</v>
      </c>
      <c r="BV28" t="e">
        <f t="shared" si="5"/>
        <v>#VALUE!</v>
      </c>
      <c r="BW28" t="e">
        <f t="shared" si="5"/>
        <v>#VALUE!</v>
      </c>
      <c r="BX28" t="e">
        <f t="shared" si="5"/>
        <v>#VALUE!</v>
      </c>
      <c r="BY28" t="e">
        <f t="shared" si="5"/>
        <v>#VALUE!</v>
      </c>
      <c r="BZ28" t="e">
        <f t="shared" si="5"/>
        <v>#VALUE!</v>
      </c>
      <c r="CA28" t="e">
        <f t="shared" si="5"/>
        <v>#VALUE!</v>
      </c>
      <c r="CB28" t="e">
        <f t="shared" si="5"/>
        <v>#VALUE!</v>
      </c>
      <c r="CC28" t="e">
        <f t="shared" si="5"/>
        <v>#VALUE!</v>
      </c>
      <c r="CD28" t="e">
        <f t="shared" si="5"/>
        <v>#VALUE!</v>
      </c>
      <c r="CE28" t="e">
        <f t="shared" si="5"/>
        <v>#VALUE!</v>
      </c>
      <c r="CF28" t="e">
        <f t="shared" si="5"/>
        <v>#VALUE!</v>
      </c>
      <c r="CG28" t="e">
        <f t="shared" si="5"/>
        <v>#VALUE!</v>
      </c>
      <c r="CH28" t="e">
        <f t="shared" si="5"/>
        <v>#VALUE!</v>
      </c>
      <c r="CI28" t="e">
        <f t="shared" si="5"/>
        <v>#VALUE!</v>
      </c>
      <c r="CJ28" t="e">
        <f t="shared" si="5"/>
        <v>#VALUE!</v>
      </c>
      <c r="CK28" t="e">
        <f t="shared" si="5"/>
        <v>#VALUE!</v>
      </c>
      <c r="CL28" t="e">
        <f t="shared" si="5"/>
        <v>#VALUE!</v>
      </c>
      <c r="CM28" t="e">
        <f t="shared" si="5"/>
        <v>#VALUE!</v>
      </c>
      <c r="CN28" t="e">
        <f t="shared" si="5"/>
        <v>#VALUE!</v>
      </c>
      <c r="CO28" t="e">
        <f t="shared" si="5"/>
        <v>#VALUE!</v>
      </c>
      <c r="CP28" t="e">
        <f t="shared" si="5"/>
        <v>#VALUE!</v>
      </c>
      <c r="CQ28" t="e">
        <f t="shared" si="5"/>
        <v>#VALUE!</v>
      </c>
      <c r="CR28" t="e">
        <f t="shared" si="5"/>
        <v>#VALUE!</v>
      </c>
      <c r="CS28" t="e">
        <f t="shared" si="5"/>
        <v>#VALUE!</v>
      </c>
      <c r="CT28" t="e">
        <f t="shared" si="5"/>
        <v>#VALUE!</v>
      </c>
      <c r="CU28" t="e">
        <f t="shared" si="5"/>
        <v>#VALUE!</v>
      </c>
      <c r="CV28" t="e">
        <f t="shared" si="5"/>
        <v>#VALUE!</v>
      </c>
      <c r="CW28" t="e">
        <f t="shared" si="5"/>
        <v>#VALUE!</v>
      </c>
      <c r="CX28" t="e">
        <f t="shared" si="5"/>
        <v>#VALUE!</v>
      </c>
      <c r="CY28" t="e">
        <f t="shared" si="5"/>
        <v>#VALUE!</v>
      </c>
      <c r="CZ28" t="e">
        <f t="shared" si="5"/>
        <v>#VALUE!</v>
      </c>
      <c r="DA28" t="e">
        <f t="shared" si="5"/>
        <v>#VALUE!</v>
      </c>
      <c r="DB28" t="e">
        <f t="shared" si="5"/>
        <v>#VALUE!</v>
      </c>
    </row>
    <row r="29" spans="1:106" x14ac:dyDescent="0.25">
      <c r="A29" s="17"/>
      <c r="B29" s="17"/>
      <c r="C29" t="s">
        <v>61</v>
      </c>
      <c r="F29" t="e">
        <f t="shared" si="0"/>
        <v>#VALUE!</v>
      </c>
      <c r="G29" t="e">
        <f t="shared" si="6"/>
        <v>#VALUE!</v>
      </c>
      <c r="H29" t="e">
        <f t="shared" si="6"/>
        <v>#VALUE!</v>
      </c>
      <c r="I29" t="e">
        <f t="shared" si="6"/>
        <v>#VALUE!</v>
      </c>
      <c r="J29" t="e">
        <f t="shared" si="6"/>
        <v>#VALUE!</v>
      </c>
      <c r="K29" t="e">
        <f t="shared" si="6"/>
        <v>#VALUE!</v>
      </c>
      <c r="L29" t="e">
        <f t="shared" si="6"/>
        <v>#VALUE!</v>
      </c>
      <c r="M29" t="e">
        <f t="shared" si="6"/>
        <v>#VALUE!</v>
      </c>
      <c r="N29" t="e">
        <f t="shared" si="6"/>
        <v>#VALUE!</v>
      </c>
      <c r="O29" t="e">
        <f t="shared" si="6"/>
        <v>#VALUE!</v>
      </c>
      <c r="P29" t="e">
        <f t="shared" si="6"/>
        <v>#VALUE!</v>
      </c>
      <c r="Q29" t="e">
        <f t="shared" si="6"/>
        <v>#VALUE!</v>
      </c>
      <c r="R29" t="e">
        <f t="shared" si="6"/>
        <v>#VALUE!</v>
      </c>
      <c r="S29" t="e">
        <f t="shared" si="6"/>
        <v>#VALUE!</v>
      </c>
      <c r="T29" t="e">
        <f t="shared" si="6"/>
        <v>#VALUE!</v>
      </c>
      <c r="U29" t="e">
        <f t="shared" si="6"/>
        <v>#VALUE!</v>
      </c>
      <c r="V29" t="e">
        <f t="shared" si="6"/>
        <v>#VALUE!</v>
      </c>
      <c r="W29" t="e">
        <f t="shared" si="6"/>
        <v>#VALUE!</v>
      </c>
      <c r="X29" t="e">
        <f t="shared" si="6"/>
        <v>#VALUE!</v>
      </c>
      <c r="Y29" t="e">
        <f t="shared" si="6"/>
        <v>#VALUE!</v>
      </c>
      <c r="Z29" t="e">
        <f t="shared" si="6"/>
        <v>#VALUE!</v>
      </c>
      <c r="AA29" t="e">
        <f t="shared" si="6"/>
        <v>#VALUE!</v>
      </c>
      <c r="AB29" t="e">
        <f t="shared" si="6"/>
        <v>#VALUE!</v>
      </c>
      <c r="AC29" t="e">
        <f t="shared" si="6"/>
        <v>#VALUE!</v>
      </c>
      <c r="AD29" t="e">
        <f t="shared" si="6"/>
        <v>#VALUE!</v>
      </c>
      <c r="AE29" t="e">
        <f t="shared" si="6"/>
        <v>#VALUE!</v>
      </c>
      <c r="AF29" t="e">
        <f t="shared" si="6"/>
        <v>#VALUE!</v>
      </c>
      <c r="AG29" t="e">
        <f t="shared" si="6"/>
        <v>#VALUE!</v>
      </c>
      <c r="AH29" t="e">
        <f t="shared" si="6"/>
        <v>#VALUE!</v>
      </c>
      <c r="AI29" t="e">
        <f t="shared" si="6"/>
        <v>#VALUE!</v>
      </c>
      <c r="AJ29" t="e">
        <f t="shared" si="6"/>
        <v>#VALUE!</v>
      </c>
      <c r="AK29" t="e">
        <f t="shared" si="6"/>
        <v>#VALUE!</v>
      </c>
      <c r="AL29" t="e">
        <f t="shared" si="6"/>
        <v>#VALUE!</v>
      </c>
      <c r="AM29" t="e">
        <f t="shared" si="6"/>
        <v>#VALUE!</v>
      </c>
      <c r="AN29" t="e">
        <f t="shared" si="6"/>
        <v>#VALUE!</v>
      </c>
      <c r="AO29" t="e">
        <f t="shared" si="6"/>
        <v>#VALUE!</v>
      </c>
      <c r="AP29" t="e">
        <f t="shared" si="6"/>
        <v>#VALUE!</v>
      </c>
      <c r="AQ29" t="e">
        <f t="shared" si="6"/>
        <v>#VALUE!</v>
      </c>
      <c r="AR29" t="e">
        <f t="shared" si="6"/>
        <v>#VALUE!</v>
      </c>
      <c r="AS29" t="e">
        <f t="shared" si="6"/>
        <v>#VALUE!</v>
      </c>
      <c r="AT29" t="e">
        <f t="shared" si="6"/>
        <v>#VALUE!</v>
      </c>
      <c r="AU29" t="e">
        <f t="shared" si="6"/>
        <v>#VALUE!</v>
      </c>
      <c r="AV29" t="e">
        <f t="shared" si="6"/>
        <v>#VALUE!</v>
      </c>
      <c r="AW29" t="e">
        <f t="shared" si="6"/>
        <v>#VALUE!</v>
      </c>
      <c r="AX29" t="e">
        <f t="shared" si="6"/>
        <v>#VALUE!</v>
      </c>
      <c r="AY29" t="e">
        <f t="shared" si="6"/>
        <v>#VALUE!</v>
      </c>
      <c r="AZ29" t="e">
        <f t="shared" si="6"/>
        <v>#VALUE!</v>
      </c>
      <c r="BA29" t="e">
        <f t="shared" si="6"/>
        <v>#VALUE!</v>
      </c>
      <c r="BB29" t="e">
        <f t="shared" si="6"/>
        <v>#VALUE!</v>
      </c>
      <c r="BC29" t="e">
        <f t="shared" si="6"/>
        <v>#VALUE!</v>
      </c>
      <c r="BD29" t="e">
        <f t="shared" si="6"/>
        <v>#VALUE!</v>
      </c>
      <c r="BE29" t="e">
        <f t="shared" si="6"/>
        <v>#VALUE!</v>
      </c>
      <c r="BF29" t="e">
        <f t="shared" si="6"/>
        <v>#VALUE!</v>
      </c>
      <c r="BG29" t="e">
        <f t="shared" si="6"/>
        <v>#VALUE!</v>
      </c>
      <c r="BH29" t="e">
        <f t="shared" si="6"/>
        <v>#VALUE!</v>
      </c>
      <c r="BI29" t="e">
        <f t="shared" si="6"/>
        <v>#VALUE!</v>
      </c>
      <c r="BJ29" t="e">
        <f t="shared" si="6"/>
        <v>#VALUE!</v>
      </c>
      <c r="BK29" t="e">
        <f t="shared" si="6"/>
        <v>#VALUE!</v>
      </c>
      <c r="BL29" t="e">
        <f t="shared" si="6"/>
        <v>#VALUE!</v>
      </c>
      <c r="BM29" t="e">
        <f t="shared" si="6"/>
        <v>#VALUE!</v>
      </c>
      <c r="BN29" t="e">
        <f t="shared" si="6"/>
        <v>#VALUE!</v>
      </c>
      <c r="BO29" t="e">
        <f t="shared" si="6"/>
        <v>#VALUE!</v>
      </c>
      <c r="BP29" t="e">
        <f t="shared" si="6"/>
        <v>#VALUE!</v>
      </c>
      <c r="BQ29" t="e">
        <f t="shared" si="6"/>
        <v>#VALUE!</v>
      </c>
      <c r="BR29" t="e">
        <f t="shared" ref="BR29:DB31" si="7">CHOOSE($C$16,BR47,BR60,BR73,BR86,BR99,BR112,BR125,BR138,BR151)</f>
        <v>#VALUE!</v>
      </c>
      <c r="BS29" t="e">
        <f t="shared" si="7"/>
        <v>#VALUE!</v>
      </c>
      <c r="BT29" t="e">
        <f t="shared" si="7"/>
        <v>#VALUE!</v>
      </c>
      <c r="BU29" t="e">
        <f t="shared" si="7"/>
        <v>#VALUE!</v>
      </c>
      <c r="BV29" t="e">
        <f t="shared" si="7"/>
        <v>#VALUE!</v>
      </c>
      <c r="BW29" t="e">
        <f t="shared" si="7"/>
        <v>#VALUE!</v>
      </c>
      <c r="BX29" t="e">
        <f t="shared" si="7"/>
        <v>#VALUE!</v>
      </c>
      <c r="BY29" t="e">
        <f t="shared" si="7"/>
        <v>#VALUE!</v>
      </c>
      <c r="BZ29" t="e">
        <f t="shared" si="7"/>
        <v>#VALUE!</v>
      </c>
      <c r="CA29" t="e">
        <f t="shared" si="7"/>
        <v>#VALUE!</v>
      </c>
      <c r="CB29" t="e">
        <f t="shared" si="7"/>
        <v>#VALUE!</v>
      </c>
      <c r="CC29" t="e">
        <f t="shared" si="7"/>
        <v>#VALUE!</v>
      </c>
      <c r="CD29" t="e">
        <f t="shared" si="7"/>
        <v>#VALUE!</v>
      </c>
      <c r="CE29" t="e">
        <f t="shared" si="7"/>
        <v>#VALUE!</v>
      </c>
      <c r="CF29" t="e">
        <f t="shared" si="7"/>
        <v>#VALUE!</v>
      </c>
      <c r="CG29" t="e">
        <f t="shared" si="7"/>
        <v>#VALUE!</v>
      </c>
      <c r="CH29" t="e">
        <f t="shared" si="7"/>
        <v>#VALUE!</v>
      </c>
      <c r="CI29" t="e">
        <f t="shared" si="7"/>
        <v>#VALUE!</v>
      </c>
      <c r="CJ29" t="e">
        <f t="shared" si="7"/>
        <v>#VALUE!</v>
      </c>
      <c r="CK29" t="e">
        <f t="shared" si="7"/>
        <v>#VALUE!</v>
      </c>
      <c r="CL29" t="e">
        <f t="shared" si="7"/>
        <v>#VALUE!</v>
      </c>
      <c r="CM29" t="e">
        <f t="shared" si="7"/>
        <v>#VALUE!</v>
      </c>
      <c r="CN29" t="e">
        <f t="shared" si="7"/>
        <v>#VALUE!</v>
      </c>
      <c r="CO29" t="e">
        <f t="shared" si="7"/>
        <v>#VALUE!</v>
      </c>
      <c r="CP29" t="e">
        <f t="shared" si="7"/>
        <v>#VALUE!</v>
      </c>
      <c r="CQ29" t="e">
        <f t="shared" si="7"/>
        <v>#VALUE!</v>
      </c>
      <c r="CR29" t="e">
        <f t="shared" si="7"/>
        <v>#VALUE!</v>
      </c>
      <c r="CS29" t="e">
        <f t="shared" si="7"/>
        <v>#VALUE!</v>
      </c>
      <c r="CT29" t="e">
        <f t="shared" si="7"/>
        <v>#VALUE!</v>
      </c>
      <c r="CU29" t="e">
        <f t="shared" si="7"/>
        <v>#VALUE!</v>
      </c>
      <c r="CV29" t="e">
        <f t="shared" si="7"/>
        <v>#VALUE!</v>
      </c>
      <c r="CW29" t="e">
        <f t="shared" si="7"/>
        <v>#VALUE!</v>
      </c>
      <c r="CX29" t="e">
        <f t="shared" si="7"/>
        <v>#VALUE!</v>
      </c>
      <c r="CY29" t="e">
        <f t="shared" si="7"/>
        <v>#VALUE!</v>
      </c>
      <c r="CZ29" t="e">
        <f t="shared" si="7"/>
        <v>#VALUE!</v>
      </c>
      <c r="DA29" t="e">
        <f t="shared" si="7"/>
        <v>#VALUE!</v>
      </c>
      <c r="DB29" t="e">
        <f t="shared" si="7"/>
        <v>#VALUE!</v>
      </c>
    </row>
    <row r="30" spans="1:106" x14ac:dyDescent="0.25">
      <c r="A30" s="17"/>
      <c r="B30" s="17"/>
      <c r="C30" t="s">
        <v>62</v>
      </c>
      <c r="F30" t="e">
        <f t="shared" si="0"/>
        <v>#VALUE!</v>
      </c>
      <c r="G30" t="e">
        <f t="shared" ref="G30:BR31" si="8">CHOOSE($C$16,G48,G61,G74,G87,G100,G113,G126,G139,G152)</f>
        <v>#VALUE!</v>
      </c>
      <c r="H30" t="e">
        <f t="shared" si="8"/>
        <v>#VALUE!</v>
      </c>
      <c r="I30" t="e">
        <f t="shared" si="8"/>
        <v>#VALUE!</v>
      </c>
      <c r="J30" t="e">
        <f t="shared" si="8"/>
        <v>#VALUE!</v>
      </c>
      <c r="K30" t="e">
        <f t="shared" si="8"/>
        <v>#VALUE!</v>
      </c>
      <c r="L30" t="e">
        <f t="shared" si="8"/>
        <v>#VALUE!</v>
      </c>
      <c r="M30" t="e">
        <f t="shared" si="8"/>
        <v>#VALUE!</v>
      </c>
      <c r="N30" t="e">
        <f t="shared" si="8"/>
        <v>#VALUE!</v>
      </c>
      <c r="O30" t="e">
        <f t="shared" si="8"/>
        <v>#VALUE!</v>
      </c>
      <c r="P30" t="e">
        <f t="shared" si="8"/>
        <v>#VALUE!</v>
      </c>
      <c r="Q30" t="e">
        <f t="shared" si="8"/>
        <v>#VALUE!</v>
      </c>
      <c r="R30" t="e">
        <f t="shared" si="8"/>
        <v>#VALUE!</v>
      </c>
      <c r="S30" t="e">
        <f t="shared" si="8"/>
        <v>#VALUE!</v>
      </c>
      <c r="T30" t="e">
        <f t="shared" si="8"/>
        <v>#VALUE!</v>
      </c>
      <c r="U30" t="e">
        <f t="shared" si="8"/>
        <v>#VALUE!</v>
      </c>
      <c r="V30" t="e">
        <f t="shared" si="8"/>
        <v>#VALUE!</v>
      </c>
      <c r="W30" t="e">
        <f t="shared" si="8"/>
        <v>#VALUE!</v>
      </c>
      <c r="X30" t="e">
        <f t="shared" si="8"/>
        <v>#VALUE!</v>
      </c>
      <c r="Y30" t="e">
        <f t="shared" si="8"/>
        <v>#VALUE!</v>
      </c>
      <c r="Z30" t="e">
        <f t="shared" si="8"/>
        <v>#VALUE!</v>
      </c>
      <c r="AA30" t="e">
        <f t="shared" si="8"/>
        <v>#VALUE!</v>
      </c>
      <c r="AB30" t="e">
        <f t="shared" si="8"/>
        <v>#VALUE!</v>
      </c>
      <c r="AC30" t="e">
        <f t="shared" si="8"/>
        <v>#VALUE!</v>
      </c>
      <c r="AD30" t="e">
        <f t="shared" si="8"/>
        <v>#VALUE!</v>
      </c>
      <c r="AE30" t="e">
        <f t="shared" si="8"/>
        <v>#VALUE!</v>
      </c>
      <c r="AF30" t="e">
        <f t="shared" si="8"/>
        <v>#VALUE!</v>
      </c>
      <c r="AG30" t="e">
        <f t="shared" si="8"/>
        <v>#VALUE!</v>
      </c>
      <c r="AH30" t="e">
        <f t="shared" si="8"/>
        <v>#VALUE!</v>
      </c>
      <c r="AI30" t="e">
        <f t="shared" si="8"/>
        <v>#VALUE!</v>
      </c>
      <c r="AJ30" t="e">
        <f t="shared" si="8"/>
        <v>#VALUE!</v>
      </c>
      <c r="AK30" t="e">
        <f t="shared" si="8"/>
        <v>#VALUE!</v>
      </c>
      <c r="AL30" t="e">
        <f t="shared" si="8"/>
        <v>#VALUE!</v>
      </c>
      <c r="AM30" t="e">
        <f t="shared" si="8"/>
        <v>#VALUE!</v>
      </c>
      <c r="AN30" t="e">
        <f t="shared" si="8"/>
        <v>#VALUE!</v>
      </c>
      <c r="AO30" t="e">
        <f t="shared" si="8"/>
        <v>#VALUE!</v>
      </c>
      <c r="AP30" t="e">
        <f t="shared" si="8"/>
        <v>#VALUE!</v>
      </c>
      <c r="AQ30" t="e">
        <f t="shared" si="8"/>
        <v>#VALUE!</v>
      </c>
      <c r="AR30" t="e">
        <f t="shared" si="8"/>
        <v>#VALUE!</v>
      </c>
      <c r="AS30" t="e">
        <f t="shared" si="8"/>
        <v>#VALUE!</v>
      </c>
      <c r="AT30" t="e">
        <f t="shared" si="8"/>
        <v>#VALUE!</v>
      </c>
      <c r="AU30" t="e">
        <f t="shared" si="8"/>
        <v>#VALUE!</v>
      </c>
      <c r="AV30" t="e">
        <f t="shared" si="8"/>
        <v>#VALUE!</v>
      </c>
      <c r="AW30" t="e">
        <f t="shared" si="8"/>
        <v>#VALUE!</v>
      </c>
      <c r="AX30" t="e">
        <f t="shared" si="8"/>
        <v>#VALUE!</v>
      </c>
      <c r="AY30" t="e">
        <f t="shared" si="8"/>
        <v>#VALUE!</v>
      </c>
      <c r="AZ30" t="e">
        <f t="shared" si="8"/>
        <v>#VALUE!</v>
      </c>
      <c r="BA30" t="e">
        <f t="shared" si="8"/>
        <v>#VALUE!</v>
      </c>
      <c r="BB30" t="e">
        <f t="shared" si="8"/>
        <v>#VALUE!</v>
      </c>
      <c r="BC30" t="e">
        <f t="shared" si="8"/>
        <v>#VALUE!</v>
      </c>
      <c r="BD30" t="e">
        <f t="shared" si="8"/>
        <v>#VALUE!</v>
      </c>
      <c r="BE30" t="e">
        <f t="shared" si="8"/>
        <v>#VALUE!</v>
      </c>
      <c r="BF30" t="e">
        <f t="shared" si="8"/>
        <v>#VALUE!</v>
      </c>
      <c r="BG30" t="e">
        <f t="shared" si="8"/>
        <v>#VALUE!</v>
      </c>
      <c r="BH30" t="e">
        <f t="shared" si="8"/>
        <v>#VALUE!</v>
      </c>
      <c r="BI30" t="e">
        <f t="shared" si="8"/>
        <v>#VALUE!</v>
      </c>
      <c r="BJ30" t="e">
        <f t="shared" si="8"/>
        <v>#VALUE!</v>
      </c>
      <c r="BK30" t="e">
        <f t="shared" si="8"/>
        <v>#VALUE!</v>
      </c>
      <c r="BL30" t="e">
        <f t="shared" si="8"/>
        <v>#VALUE!</v>
      </c>
      <c r="BM30" t="e">
        <f t="shared" si="8"/>
        <v>#VALUE!</v>
      </c>
      <c r="BN30" t="e">
        <f t="shared" si="8"/>
        <v>#VALUE!</v>
      </c>
      <c r="BO30" t="e">
        <f t="shared" si="8"/>
        <v>#VALUE!</v>
      </c>
      <c r="BP30" t="e">
        <f t="shared" si="8"/>
        <v>#VALUE!</v>
      </c>
      <c r="BQ30" t="e">
        <f t="shared" si="8"/>
        <v>#VALUE!</v>
      </c>
      <c r="BR30" t="e">
        <f t="shared" si="8"/>
        <v>#VALUE!</v>
      </c>
      <c r="BS30" t="e">
        <f t="shared" si="7"/>
        <v>#VALUE!</v>
      </c>
      <c r="BT30" t="e">
        <f t="shared" si="7"/>
        <v>#VALUE!</v>
      </c>
      <c r="BU30" t="e">
        <f t="shared" si="7"/>
        <v>#VALUE!</v>
      </c>
      <c r="BV30" t="e">
        <f t="shared" si="7"/>
        <v>#VALUE!</v>
      </c>
      <c r="BW30" t="e">
        <f t="shared" si="7"/>
        <v>#VALUE!</v>
      </c>
      <c r="BX30" t="e">
        <f t="shared" si="7"/>
        <v>#VALUE!</v>
      </c>
      <c r="BY30" t="e">
        <f t="shared" si="7"/>
        <v>#VALUE!</v>
      </c>
      <c r="BZ30" t="e">
        <f t="shared" si="7"/>
        <v>#VALUE!</v>
      </c>
      <c r="CA30" t="e">
        <f t="shared" si="7"/>
        <v>#VALUE!</v>
      </c>
      <c r="CB30" t="e">
        <f t="shared" si="7"/>
        <v>#VALUE!</v>
      </c>
      <c r="CC30" t="e">
        <f t="shared" si="7"/>
        <v>#VALUE!</v>
      </c>
      <c r="CD30" t="e">
        <f t="shared" si="7"/>
        <v>#VALUE!</v>
      </c>
      <c r="CE30" t="e">
        <f t="shared" si="7"/>
        <v>#VALUE!</v>
      </c>
      <c r="CF30" t="e">
        <f t="shared" si="7"/>
        <v>#VALUE!</v>
      </c>
      <c r="CG30" t="e">
        <f t="shared" si="7"/>
        <v>#VALUE!</v>
      </c>
      <c r="CH30" t="e">
        <f t="shared" si="7"/>
        <v>#VALUE!</v>
      </c>
      <c r="CI30" t="e">
        <f t="shared" si="7"/>
        <v>#VALUE!</v>
      </c>
      <c r="CJ30" t="e">
        <f t="shared" si="7"/>
        <v>#VALUE!</v>
      </c>
      <c r="CK30" t="e">
        <f t="shared" si="7"/>
        <v>#VALUE!</v>
      </c>
      <c r="CL30" t="e">
        <f t="shared" si="7"/>
        <v>#VALUE!</v>
      </c>
      <c r="CM30" t="e">
        <f t="shared" si="7"/>
        <v>#VALUE!</v>
      </c>
      <c r="CN30" t="e">
        <f t="shared" si="7"/>
        <v>#VALUE!</v>
      </c>
      <c r="CO30" t="e">
        <f t="shared" si="7"/>
        <v>#VALUE!</v>
      </c>
      <c r="CP30" t="e">
        <f t="shared" si="7"/>
        <v>#VALUE!</v>
      </c>
      <c r="CQ30" t="e">
        <f t="shared" si="7"/>
        <v>#VALUE!</v>
      </c>
      <c r="CR30" t="e">
        <f t="shared" si="7"/>
        <v>#VALUE!</v>
      </c>
      <c r="CS30" t="e">
        <f t="shared" si="7"/>
        <v>#VALUE!</v>
      </c>
      <c r="CT30" t="e">
        <f t="shared" si="7"/>
        <v>#VALUE!</v>
      </c>
      <c r="CU30" t="e">
        <f t="shared" si="7"/>
        <v>#VALUE!</v>
      </c>
      <c r="CV30" t="e">
        <f t="shared" si="7"/>
        <v>#VALUE!</v>
      </c>
      <c r="CW30" t="e">
        <f t="shared" si="7"/>
        <v>#VALUE!</v>
      </c>
      <c r="CX30" t="e">
        <f t="shared" si="7"/>
        <v>#VALUE!</v>
      </c>
      <c r="CY30" t="e">
        <f t="shared" si="7"/>
        <v>#VALUE!</v>
      </c>
      <c r="CZ30" t="e">
        <f t="shared" si="7"/>
        <v>#VALUE!</v>
      </c>
      <c r="DA30" t="e">
        <f t="shared" si="7"/>
        <v>#VALUE!</v>
      </c>
      <c r="DB30" t="e">
        <f t="shared" si="7"/>
        <v>#VALUE!</v>
      </c>
    </row>
    <row r="31" spans="1:106" x14ac:dyDescent="0.25">
      <c r="A31" s="17"/>
      <c r="B31" s="17"/>
      <c r="C31" t="s">
        <v>63</v>
      </c>
      <c r="F31" t="e">
        <f t="shared" si="0"/>
        <v>#VALUE!</v>
      </c>
      <c r="G31" t="e">
        <f t="shared" si="8"/>
        <v>#VALUE!</v>
      </c>
      <c r="H31" t="e">
        <f t="shared" si="8"/>
        <v>#VALUE!</v>
      </c>
      <c r="I31" t="e">
        <f t="shared" si="8"/>
        <v>#VALUE!</v>
      </c>
      <c r="J31" t="e">
        <f t="shared" si="8"/>
        <v>#VALUE!</v>
      </c>
      <c r="K31" t="e">
        <f t="shared" si="8"/>
        <v>#VALUE!</v>
      </c>
      <c r="L31" t="e">
        <f t="shared" si="8"/>
        <v>#VALUE!</v>
      </c>
      <c r="M31" t="e">
        <f t="shared" si="8"/>
        <v>#VALUE!</v>
      </c>
      <c r="N31" t="e">
        <f t="shared" si="8"/>
        <v>#VALUE!</v>
      </c>
      <c r="O31" t="e">
        <f t="shared" si="8"/>
        <v>#VALUE!</v>
      </c>
      <c r="P31" t="e">
        <f t="shared" si="8"/>
        <v>#VALUE!</v>
      </c>
      <c r="Q31" t="e">
        <f t="shared" si="8"/>
        <v>#VALUE!</v>
      </c>
      <c r="R31" t="e">
        <f t="shared" si="8"/>
        <v>#VALUE!</v>
      </c>
      <c r="S31" t="e">
        <f t="shared" si="8"/>
        <v>#VALUE!</v>
      </c>
      <c r="T31" t="e">
        <f t="shared" si="8"/>
        <v>#VALUE!</v>
      </c>
      <c r="U31" t="e">
        <f t="shared" si="8"/>
        <v>#VALUE!</v>
      </c>
      <c r="V31" t="e">
        <f t="shared" si="8"/>
        <v>#VALUE!</v>
      </c>
      <c r="W31" t="e">
        <f t="shared" si="8"/>
        <v>#VALUE!</v>
      </c>
      <c r="X31" t="e">
        <f t="shared" si="8"/>
        <v>#VALUE!</v>
      </c>
      <c r="Y31" t="e">
        <f t="shared" si="8"/>
        <v>#VALUE!</v>
      </c>
      <c r="Z31" t="e">
        <f t="shared" si="8"/>
        <v>#VALUE!</v>
      </c>
      <c r="AA31" t="e">
        <f t="shared" si="8"/>
        <v>#VALUE!</v>
      </c>
      <c r="AB31" t="e">
        <f t="shared" si="8"/>
        <v>#VALUE!</v>
      </c>
      <c r="AC31" t="e">
        <f t="shared" si="8"/>
        <v>#VALUE!</v>
      </c>
      <c r="AD31" t="e">
        <f t="shared" si="8"/>
        <v>#VALUE!</v>
      </c>
      <c r="AE31" t="e">
        <f t="shared" si="8"/>
        <v>#VALUE!</v>
      </c>
      <c r="AF31" t="e">
        <f t="shared" si="8"/>
        <v>#VALUE!</v>
      </c>
      <c r="AG31" t="e">
        <f t="shared" si="8"/>
        <v>#VALUE!</v>
      </c>
      <c r="AH31" t="e">
        <f t="shared" si="8"/>
        <v>#VALUE!</v>
      </c>
      <c r="AI31" t="e">
        <f t="shared" si="8"/>
        <v>#VALUE!</v>
      </c>
      <c r="AJ31" t="e">
        <f t="shared" si="8"/>
        <v>#VALUE!</v>
      </c>
      <c r="AK31" t="e">
        <f t="shared" si="8"/>
        <v>#VALUE!</v>
      </c>
      <c r="AL31" t="e">
        <f t="shared" si="8"/>
        <v>#VALUE!</v>
      </c>
      <c r="AM31" t="e">
        <f t="shared" si="8"/>
        <v>#VALUE!</v>
      </c>
      <c r="AN31" t="e">
        <f t="shared" si="8"/>
        <v>#VALUE!</v>
      </c>
      <c r="AO31" t="e">
        <f t="shared" si="8"/>
        <v>#VALUE!</v>
      </c>
      <c r="AP31" t="e">
        <f t="shared" si="8"/>
        <v>#VALUE!</v>
      </c>
      <c r="AQ31" t="e">
        <f t="shared" si="8"/>
        <v>#VALUE!</v>
      </c>
      <c r="AR31" t="e">
        <f t="shared" si="8"/>
        <v>#VALUE!</v>
      </c>
      <c r="AS31" t="e">
        <f t="shared" si="8"/>
        <v>#VALUE!</v>
      </c>
      <c r="AT31" t="e">
        <f t="shared" si="8"/>
        <v>#VALUE!</v>
      </c>
      <c r="AU31" t="e">
        <f t="shared" si="8"/>
        <v>#VALUE!</v>
      </c>
      <c r="AV31" t="e">
        <f t="shared" si="8"/>
        <v>#VALUE!</v>
      </c>
      <c r="AW31" t="e">
        <f t="shared" si="8"/>
        <v>#VALUE!</v>
      </c>
      <c r="AX31" t="e">
        <f t="shared" si="8"/>
        <v>#VALUE!</v>
      </c>
      <c r="AY31" t="e">
        <f t="shared" si="8"/>
        <v>#VALUE!</v>
      </c>
      <c r="AZ31" t="e">
        <f t="shared" si="8"/>
        <v>#VALUE!</v>
      </c>
      <c r="BA31" t="e">
        <f t="shared" si="8"/>
        <v>#VALUE!</v>
      </c>
      <c r="BB31" t="e">
        <f t="shared" si="8"/>
        <v>#VALUE!</v>
      </c>
      <c r="BC31" t="e">
        <f t="shared" si="8"/>
        <v>#VALUE!</v>
      </c>
      <c r="BD31" t="e">
        <f t="shared" si="8"/>
        <v>#VALUE!</v>
      </c>
      <c r="BE31" t="e">
        <f t="shared" si="8"/>
        <v>#VALUE!</v>
      </c>
      <c r="BF31" t="e">
        <f t="shared" si="8"/>
        <v>#VALUE!</v>
      </c>
      <c r="BG31" t="e">
        <f t="shared" si="8"/>
        <v>#VALUE!</v>
      </c>
      <c r="BH31" t="e">
        <f t="shared" si="8"/>
        <v>#VALUE!</v>
      </c>
      <c r="BI31" t="e">
        <f t="shared" si="8"/>
        <v>#VALUE!</v>
      </c>
      <c r="BJ31" t="e">
        <f t="shared" si="8"/>
        <v>#VALUE!</v>
      </c>
      <c r="BK31" t="e">
        <f t="shared" si="8"/>
        <v>#VALUE!</v>
      </c>
      <c r="BL31" t="e">
        <f t="shared" si="8"/>
        <v>#VALUE!</v>
      </c>
      <c r="BM31" t="e">
        <f t="shared" si="8"/>
        <v>#VALUE!</v>
      </c>
      <c r="BN31" t="e">
        <f t="shared" si="8"/>
        <v>#VALUE!</v>
      </c>
      <c r="BO31" t="e">
        <f t="shared" si="8"/>
        <v>#VALUE!</v>
      </c>
      <c r="BP31" t="e">
        <f t="shared" si="8"/>
        <v>#VALUE!</v>
      </c>
      <c r="BQ31" t="e">
        <f t="shared" si="8"/>
        <v>#VALUE!</v>
      </c>
      <c r="BR31" t="e">
        <f t="shared" si="8"/>
        <v>#VALUE!</v>
      </c>
      <c r="BS31" t="e">
        <f t="shared" si="7"/>
        <v>#VALUE!</v>
      </c>
      <c r="BT31" t="e">
        <f t="shared" si="7"/>
        <v>#VALUE!</v>
      </c>
      <c r="BU31" t="e">
        <f t="shared" si="7"/>
        <v>#VALUE!</v>
      </c>
      <c r="BV31" t="e">
        <f t="shared" si="7"/>
        <v>#VALUE!</v>
      </c>
      <c r="BW31" t="e">
        <f t="shared" si="7"/>
        <v>#VALUE!</v>
      </c>
      <c r="BX31" t="e">
        <f t="shared" si="7"/>
        <v>#VALUE!</v>
      </c>
      <c r="BY31" t="e">
        <f t="shared" si="7"/>
        <v>#VALUE!</v>
      </c>
      <c r="BZ31" t="e">
        <f t="shared" si="7"/>
        <v>#VALUE!</v>
      </c>
      <c r="CA31" t="e">
        <f t="shared" si="7"/>
        <v>#VALUE!</v>
      </c>
      <c r="CB31" t="e">
        <f t="shared" si="7"/>
        <v>#VALUE!</v>
      </c>
      <c r="CC31" t="e">
        <f t="shared" si="7"/>
        <v>#VALUE!</v>
      </c>
      <c r="CD31" t="e">
        <f t="shared" si="7"/>
        <v>#VALUE!</v>
      </c>
      <c r="CE31" t="e">
        <f t="shared" si="7"/>
        <v>#VALUE!</v>
      </c>
      <c r="CF31" t="e">
        <f t="shared" si="7"/>
        <v>#VALUE!</v>
      </c>
      <c r="CG31" t="e">
        <f t="shared" si="7"/>
        <v>#VALUE!</v>
      </c>
      <c r="CH31" t="e">
        <f t="shared" si="7"/>
        <v>#VALUE!</v>
      </c>
      <c r="CI31" t="e">
        <f t="shared" si="7"/>
        <v>#VALUE!</v>
      </c>
      <c r="CJ31" t="e">
        <f t="shared" si="7"/>
        <v>#VALUE!</v>
      </c>
      <c r="CK31" t="e">
        <f t="shared" si="7"/>
        <v>#VALUE!</v>
      </c>
      <c r="CL31" t="e">
        <f t="shared" si="7"/>
        <v>#VALUE!</v>
      </c>
      <c r="CM31" t="e">
        <f t="shared" si="7"/>
        <v>#VALUE!</v>
      </c>
      <c r="CN31" t="e">
        <f t="shared" si="7"/>
        <v>#VALUE!</v>
      </c>
      <c r="CO31" t="e">
        <f t="shared" si="7"/>
        <v>#VALUE!</v>
      </c>
      <c r="CP31" t="e">
        <f t="shared" si="7"/>
        <v>#VALUE!</v>
      </c>
      <c r="CQ31" t="e">
        <f t="shared" si="7"/>
        <v>#VALUE!</v>
      </c>
      <c r="CR31" t="e">
        <f t="shared" si="7"/>
        <v>#VALUE!</v>
      </c>
      <c r="CS31" t="e">
        <f t="shared" si="7"/>
        <v>#VALUE!</v>
      </c>
      <c r="CT31" t="e">
        <f t="shared" si="7"/>
        <v>#VALUE!</v>
      </c>
      <c r="CU31" t="e">
        <f t="shared" si="7"/>
        <v>#VALUE!</v>
      </c>
      <c r="CV31" t="e">
        <f t="shared" si="7"/>
        <v>#VALUE!</v>
      </c>
      <c r="CW31" t="e">
        <f t="shared" si="7"/>
        <v>#VALUE!</v>
      </c>
      <c r="CX31" t="e">
        <f t="shared" si="7"/>
        <v>#VALUE!</v>
      </c>
      <c r="CY31" t="e">
        <f t="shared" si="7"/>
        <v>#VALUE!</v>
      </c>
      <c r="CZ31" t="e">
        <f t="shared" si="7"/>
        <v>#VALUE!</v>
      </c>
      <c r="DA31" t="e">
        <f t="shared" si="7"/>
        <v>#VALUE!</v>
      </c>
      <c r="DB31" t="e">
        <f t="shared" si="7"/>
        <v>#VALUE!</v>
      </c>
    </row>
    <row r="32" spans="1:106" x14ac:dyDescent="0.25">
      <c r="A32" s="17"/>
      <c r="B32" s="17"/>
    </row>
    <row r="33" spans="1:106" x14ac:dyDescent="0.25">
      <c r="A33" s="17"/>
      <c r="B33" s="17"/>
      <c r="C33" s="17"/>
    </row>
    <row r="34" spans="1:106" x14ac:dyDescent="0.25">
      <c r="A34" s="51" t="s">
        <v>71</v>
      </c>
      <c r="B34" s="51"/>
      <c r="C34" s="51"/>
    </row>
    <row r="36" spans="1:106" x14ac:dyDescent="0.25">
      <c r="A36" s="57" t="s">
        <v>72</v>
      </c>
      <c r="B36" s="57"/>
    </row>
    <row r="37" spans="1:106" x14ac:dyDescent="0.25">
      <c r="A37" s="1" t="s">
        <v>73</v>
      </c>
      <c r="B37" s="1" t="s">
        <v>74</v>
      </c>
    </row>
    <row r="38" spans="1:106" x14ac:dyDescent="0.25">
      <c r="A38" s="59">
        <v>1</v>
      </c>
      <c r="B38" s="59" t="s">
        <v>68</v>
      </c>
      <c r="C38" t="s">
        <v>52</v>
      </c>
      <c r="D38">
        <v>25</v>
      </c>
      <c r="E38" t="s">
        <v>2</v>
      </c>
      <c r="F38">
        <v>13.6</v>
      </c>
      <c r="G38">
        <v>13.4</v>
      </c>
      <c r="H38">
        <v>13.3</v>
      </c>
      <c r="I38">
        <v>13.1</v>
      </c>
      <c r="J38">
        <v>12.9</v>
      </c>
      <c r="K38">
        <v>12.7</v>
      </c>
      <c r="L38">
        <v>12.6</v>
      </c>
      <c r="M38">
        <v>12.4</v>
      </c>
      <c r="N38">
        <v>12.3</v>
      </c>
      <c r="O38">
        <v>12.2</v>
      </c>
      <c r="P38">
        <v>12.1</v>
      </c>
      <c r="Q38">
        <v>12.1</v>
      </c>
      <c r="R38">
        <v>12.1</v>
      </c>
      <c r="S38">
        <v>12.1</v>
      </c>
      <c r="T38">
        <v>12.1</v>
      </c>
      <c r="U38">
        <v>12.2</v>
      </c>
      <c r="V38">
        <v>12.3</v>
      </c>
      <c r="W38">
        <v>12.4</v>
      </c>
      <c r="X38">
        <v>12.5</v>
      </c>
      <c r="Y38">
        <v>12.6</v>
      </c>
      <c r="Z38">
        <v>12.7</v>
      </c>
      <c r="AA38">
        <v>12.9</v>
      </c>
      <c r="AB38">
        <v>13</v>
      </c>
      <c r="AC38">
        <v>13.1</v>
      </c>
      <c r="AD38">
        <v>13.2</v>
      </c>
      <c r="AE38">
        <v>13.3</v>
      </c>
      <c r="AF38">
        <v>13.4</v>
      </c>
      <c r="AG38">
        <v>13.5</v>
      </c>
      <c r="AH38">
        <v>13.5</v>
      </c>
      <c r="AI38">
        <v>13.6</v>
      </c>
      <c r="AJ38">
        <v>13.6</v>
      </c>
      <c r="AK38">
        <v>13.6</v>
      </c>
      <c r="AL38">
        <v>13.6</v>
      </c>
      <c r="AM38">
        <v>13.7</v>
      </c>
      <c r="AN38">
        <v>13.7</v>
      </c>
      <c r="AO38">
        <v>13.7</v>
      </c>
      <c r="AP38">
        <v>13.7</v>
      </c>
      <c r="AQ38">
        <v>13.7</v>
      </c>
      <c r="AR38">
        <v>13.7</v>
      </c>
      <c r="AS38">
        <v>13.7</v>
      </c>
      <c r="AT38">
        <v>13.7</v>
      </c>
      <c r="AU38">
        <v>13.6</v>
      </c>
      <c r="AV38">
        <v>13.6</v>
      </c>
      <c r="AW38">
        <v>13.6</v>
      </c>
      <c r="AX38">
        <v>13.5</v>
      </c>
      <c r="AY38">
        <v>13.5</v>
      </c>
      <c r="AZ38">
        <v>13.4</v>
      </c>
      <c r="BA38">
        <v>13.3</v>
      </c>
      <c r="BB38">
        <v>13.2</v>
      </c>
      <c r="BC38">
        <v>13.1</v>
      </c>
      <c r="BD38">
        <v>13</v>
      </c>
      <c r="BE38">
        <v>12.9</v>
      </c>
      <c r="BF38">
        <v>12.7</v>
      </c>
      <c r="BG38">
        <v>12.6</v>
      </c>
      <c r="BH38">
        <v>12.4</v>
      </c>
      <c r="BI38">
        <v>12.3</v>
      </c>
      <c r="BJ38">
        <v>12.1</v>
      </c>
      <c r="BK38">
        <v>12</v>
      </c>
      <c r="BL38">
        <v>11.9</v>
      </c>
      <c r="BM38">
        <v>11.8</v>
      </c>
      <c r="BN38">
        <v>11.8</v>
      </c>
      <c r="BO38">
        <v>11.7</v>
      </c>
      <c r="BP38">
        <v>11.7</v>
      </c>
      <c r="BQ38">
        <v>11.7</v>
      </c>
      <c r="BR38">
        <v>11.7</v>
      </c>
      <c r="BS38">
        <v>11.8</v>
      </c>
      <c r="BT38">
        <v>11.9</v>
      </c>
      <c r="BU38">
        <v>12</v>
      </c>
      <c r="BV38">
        <v>12.1</v>
      </c>
      <c r="BW38">
        <v>12.2</v>
      </c>
      <c r="BX38">
        <v>12.3</v>
      </c>
      <c r="BY38">
        <v>12.4</v>
      </c>
      <c r="BZ38">
        <v>12.6</v>
      </c>
      <c r="CA38">
        <v>12.7</v>
      </c>
      <c r="CB38">
        <v>12.8</v>
      </c>
      <c r="CC38">
        <v>12.9</v>
      </c>
      <c r="CD38">
        <v>13</v>
      </c>
      <c r="CE38">
        <v>13</v>
      </c>
      <c r="CF38">
        <v>13.1</v>
      </c>
      <c r="CG38">
        <v>13.2</v>
      </c>
      <c r="CH38">
        <v>13.2</v>
      </c>
      <c r="CI38">
        <v>13.3</v>
      </c>
      <c r="CJ38">
        <v>13.3</v>
      </c>
      <c r="CK38">
        <v>13.4</v>
      </c>
      <c r="CL38">
        <v>13.4</v>
      </c>
      <c r="CM38">
        <v>13.4</v>
      </c>
      <c r="CN38">
        <v>13.5</v>
      </c>
      <c r="CO38">
        <v>13.5</v>
      </c>
      <c r="CP38">
        <v>13.5</v>
      </c>
      <c r="CQ38">
        <v>13.5</v>
      </c>
      <c r="CR38">
        <v>13.6</v>
      </c>
      <c r="CS38">
        <v>13.6</v>
      </c>
      <c r="CT38">
        <v>13.6</v>
      </c>
      <c r="CU38">
        <v>13.6</v>
      </c>
      <c r="CV38">
        <v>13.6</v>
      </c>
      <c r="CW38">
        <v>13.5</v>
      </c>
      <c r="CX38">
        <v>13.5</v>
      </c>
      <c r="CY38">
        <v>13.4</v>
      </c>
      <c r="CZ38">
        <v>13.3</v>
      </c>
      <c r="DA38">
        <v>13.2</v>
      </c>
      <c r="DB38">
        <v>13.1</v>
      </c>
    </row>
    <row r="39" spans="1:106" x14ac:dyDescent="0.25">
      <c r="A39" s="59"/>
      <c r="B39" s="59"/>
      <c r="C39" t="s">
        <v>53</v>
      </c>
      <c r="D39">
        <v>25</v>
      </c>
      <c r="E39" t="s">
        <v>2</v>
      </c>
      <c r="F39">
        <v>33.6</v>
      </c>
      <c r="G39">
        <v>33.4</v>
      </c>
      <c r="H39">
        <v>33.299999999999997</v>
      </c>
      <c r="I39">
        <v>33</v>
      </c>
      <c r="J39">
        <v>32.799999999999997</v>
      </c>
      <c r="K39">
        <v>32.4</v>
      </c>
      <c r="L39">
        <v>31.9</v>
      </c>
      <c r="M39">
        <v>31.4</v>
      </c>
      <c r="N39">
        <v>30.7</v>
      </c>
      <c r="O39">
        <v>29.9</v>
      </c>
      <c r="P39">
        <v>29.1</v>
      </c>
      <c r="Q39">
        <v>28.1</v>
      </c>
      <c r="R39">
        <v>27</v>
      </c>
      <c r="S39">
        <v>25.8</v>
      </c>
      <c r="T39">
        <v>24.6</v>
      </c>
      <c r="U39">
        <v>23.3</v>
      </c>
      <c r="V39">
        <v>21.9</v>
      </c>
      <c r="W39">
        <v>20.5</v>
      </c>
      <c r="X39">
        <v>19.100000000000001</v>
      </c>
      <c r="Y39">
        <v>17.7</v>
      </c>
      <c r="Z39">
        <v>16.3</v>
      </c>
      <c r="AA39">
        <v>15</v>
      </c>
      <c r="AB39">
        <v>13.6</v>
      </c>
      <c r="AC39">
        <v>12.3</v>
      </c>
      <c r="AD39">
        <v>11.1</v>
      </c>
      <c r="AE39">
        <v>9.82</v>
      </c>
      <c r="AF39">
        <v>8.64</v>
      </c>
      <c r="AG39">
        <v>7.48</v>
      </c>
      <c r="AH39">
        <v>6.35</v>
      </c>
      <c r="AI39">
        <v>5.24</v>
      </c>
      <c r="AJ39">
        <v>4.1399999999999997</v>
      </c>
      <c r="AK39">
        <v>3.06</v>
      </c>
      <c r="AL39">
        <v>1.99</v>
      </c>
      <c r="AM39">
        <v>0.91</v>
      </c>
      <c r="AN39">
        <v>-0.16</v>
      </c>
      <c r="AO39">
        <v>-1.23</v>
      </c>
      <c r="AP39">
        <v>-2.2999999999999998</v>
      </c>
      <c r="AQ39">
        <v>-3.36</v>
      </c>
      <c r="AR39">
        <v>-4.42</v>
      </c>
      <c r="AS39">
        <v>-5.45</v>
      </c>
      <c r="AT39">
        <v>-6.46</v>
      </c>
      <c r="AU39">
        <v>-7.43</v>
      </c>
      <c r="AV39">
        <v>-8.36</v>
      </c>
      <c r="AW39">
        <v>-9.23</v>
      </c>
      <c r="AX39">
        <v>-10</v>
      </c>
      <c r="AY39">
        <v>-10.8</v>
      </c>
      <c r="AZ39">
        <v>-11.4</v>
      </c>
      <c r="BA39">
        <v>-11.9</v>
      </c>
      <c r="BB39">
        <v>-12.3</v>
      </c>
      <c r="BC39">
        <v>-12.5</v>
      </c>
      <c r="BD39">
        <v>-12.6</v>
      </c>
      <c r="BE39">
        <v>-12.5</v>
      </c>
      <c r="BF39">
        <v>-12.3</v>
      </c>
      <c r="BG39">
        <v>-11.8</v>
      </c>
      <c r="BH39">
        <v>-11.2</v>
      </c>
      <c r="BI39">
        <v>-10.4</v>
      </c>
      <c r="BJ39">
        <v>-9.39</v>
      </c>
      <c r="BK39">
        <v>-8.1999999999999993</v>
      </c>
      <c r="BL39">
        <v>-6.83</v>
      </c>
      <c r="BM39">
        <v>-5.29</v>
      </c>
      <c r="BN39">
        <v>-3.59</v>
      </c>
      <c r="BO39">
        <v>-1.73</v>
      </c>
      <c r="BP39">
        <v>0.24</v>
      </c>
      <c r="BQ39">
        <v>2.3199999999999998</v>
      </c>
      <c r="BR39">
        <v>4.47</v>
      </c>
      <c r="BS39">
        <v>6.69</v>
      </c>
      <c r="BT39">
        <v>8.93</v>
      </c>
      <c r="BU39">
        <v>11.2</v>
      </c>
      <c r="BV39">
        <v>13.4</v>
      </c>
      <c r="BW39">
        <v>15.5</v>
      </c>
      <c r="BX39">
        <v>17.600000000000001</v>
      </c>
      <c r="BY39">
        <v>19.600000000000001</v>
      </c>
      <c r="BZ39">
        <v>21.5</v>
      </c>
      <c r="CA39">
        <v>23.3</v>
      </c>
      <c r="CB39">
        <v>25</v>
      </c>
      <c r="CC39">
        <v>26.5</v>
      </c>
      <c r="CD39">
        <v>27.9</v>
      </c>
      <c r="CE39">
        <v>29.2</v>
      </c>
      <c r="CF39">
        <v>30.4</v>
      </c>
      <c r="CG39">
        <v>31.4</v>
      </c>
      <c r="CH39">
        <v>32.299999999999997</v>
      </c>
      <c r="CI39">
        <v>33.1</v>
      </c>
      <c r="CJ39">
        <v>33.799999999999997</v>
      </c>
      <c r="CK39">
        <v>34.299999999999997</v>
      </c>
      <c r="CL39">
        <v>34.799999999999997</v>
      </c>
      <c r="CM39">
        <v>35.1</v>
      </c>
      <c r="CN39">
        <v>35.299999999999997</v>
      </c>
      <c r="CO39">
        <v>35.5</v>
      </c>
      <c r="CP39">
        <v>35.5</v>
      </c>
      <c r="CQ39">
        <v>35.5</v>
      </c>
      <c r="CR39">
        <v>35.4</v>
      </c>
      <c r="CS39">
        <v>35.299999999999997</v>
      </c>
      <c r="CT39">
        <v>35.200000000000003</v>
      </c>
      <c r="CU39">
        <v>35</v>
      </c>
      <c r="CV39">
        <v>34.799999999999997</v>
      </c>
      <c r="CW39">
        <v>34.5</v>
      </c>
      <c r="CX39">
        <v>34.299999999999997</v>
      </c>
      <c r="CY39">
        <v>34.1</v>
      </c>
      <c r="CZ39">
        <v>33.9</v>
      </c>
      <c r="DA39">
        <v>33.700000000000003</v>
      </c>
      <c r="DB39">
        <v>33.5</v>
      </c>
    </row>
    <row r="40" spans="1:106" x14ac:dyDescent="0.25">
      <c r="A40" s="59"/>
      <c r="B40" s="59"/>
      <c r="C40" t="s">
        <v>54</v>
      </c>
      <c r="D40">
        <v>25</v>
      </c>
      <c r="E40" t="s">
        <v>2</v>
      </c>
      <c r="F40">
        <v>2.48</v>
      </c>
      <c r="G40">
        <v>3.8</v>
      </c>
      <c r="H40">
        <v>5.32</v>
      </c>
      <c r="I40">
        <v>7</v>
      </c>
      <c r="J40">
        <v>8.7899999999999991</v>
      </c>
      <c r="K40">
        <v>10.5</v>
      </c>
      <c r="L40">
        <v>12.2</v>
      </c>
      <c r="M40">
        <v>13.6</v>
      </c>
      <c r="N40">
        <v>14.8</v>
      </c>
      <c r="O40">
        <v>15.7</v>
      </c>
      <c r="P40">
        <v>16.2</v>
      </c>
      <c r="Q40">
        <v>16.5</v>
      </c>
      <c r="R40">
        <v>16.5</v>
      </c>
      <c r="S40">
        <v>16.2</v>
      </c>
      <c r="T40">
        <v>15.7</v>
      </c>
      <c r="U40">
        <v>15</v>
      </c>
      <c r="V40">
        <v>14.1</v>
      </c>
      <c r="W40">
        <v>13.2</v>
      </c>
      <c r="X40">
        <v>12.2</v>
      </c>
      <c r="Y40">
        <v>11.1</v>
      </c>
      <c r="Z40">
        <v>10.1</v>
      </c>
      <c r="AA40">
        <v>9.1300000000000008</v>
      </c>
      <c r="AB40">
        <v>8.19</v>
      </c>
      <c r="AC40">
        <v>7.3</v>
      </c>
      <c r="AD40">
        <v>6.49</v>
      </c>
      <c r="AE40">
        <v>5.74</v>
      </c>
      <c r="AF40">
        <v>5.0599999999999996</v>
      </c>
      <c r="AG40">
        <v>4.45</v>
      </c>
      <c r="AH40">
        <v>3.9</v>
      </c>
      <c r="AI40">
        <v>3.4</v>
      </c>
      <c r="AJ40">
        <v>2.96</v>
      </c>
      <c r="AK40">
        <v>2.56</v>
      </c>
      <c r="AL40">
        <v>2.19</v>
      </c>
      <c r="AM40">
        <v>1.85</v>
      </c>
      <c r="AN40">
        <v>1.54</v>
      </c>
      <c r="AO40">
        <v>1.26</v>
      </c>
      <c r="AP40">
        <v>1</v>
      </c>
      <c r="AQ40">
        <v>0.78</v>
      </c>
      <c r="AR40">
        <v>0.6</v>
      </c>
      <c r="AS40">
        <v>0.49</v>
      </c>
      <c r="AT40">
        <v>0.45</v>
      </c>
      <c r="AU40">
        <v>0.5</v>
      </c>
      <c r="AV40">
        <v>0.67</v>
      </c>
      <c r="AW40">
        <v>0.97</v>
      </c>
      <c r="AX40">
        <v>1.42</v>
      </c>
      <c r="AY40">
        <v>2.04</v>
      </c>
      <c r="AZ40">
        <v>2.84</v>
      </c>
      <c r="BA40">
        <v>3.83</v>
      </c>
      <c r="BB40">
        <v>5.04</v>
      </c>
      <c r="BC40">
        <v>6.46</v>
      </c>
      <c r="BD40">
        <v>8.09</v>
      </c>
      <c r="BE40">
        <v>9.99</v>
      </c>
      <c r="BF40">
        <v>12.1</v>
      </c>
      <c r="BG40">
        <v>14.5</v>
      </c>
      <c r="BH40">
        <v>17</v>
      </c>
      <c r="BI40">
        <v>19.899999999999999</v>
      </c>
      <c r="BJ40">
        <v>22.9</v>
      </c>
      <c r="BK40">
        <v>26</v>
      </c>
      <c r="BL40">
        <v>29.4</v>
      </c>
      <c r="BM40">
        <v>32.799999999999997</v>
      </c>
      <c r="BN40">
        <v>36.200000000000003</v>
      </c>
      <c r="BO40">
        <v>39.700000000000003</v>
      </c>
      <c r="BP40">
        <v>43</v>
      </c>
      <c r="BQ40">
        <v>46.3</v>
      </c>
      <c r="BR40">
        <v>49.3</v>
      </c>
      <c r="BS40">
        <v>52</v>
      </c>
      <c r="BT40">
        <v>54.4</v>
      </c>
      <c r="BU40">
        <v>56.5</v>
      </c>
      <c r="BV40">
        <v>58.1</v>
      </c>
      <c r="BW40">
        <v>59.4</v>
      </c>
      <c r="BX40">
        <v>60.3</v>
      </c>
      <c r="BY40">
        <v>60.8</v>
      </c>
      <c r="BZ40">
        <v>60.9</v>
      </c>
      <c r="CA40">
        <v>60.6</v>
      </c>
      <c r="CB40">
        <v>59.9</v>
      </c>
      <c r="CC40">
        <v>58.9</v>
      </c>
      <c r="CD40">
        <v>57.6</v>
      </c>
      <c r="CE40">
        <v>55.9</v>
      </c>
      <c r="CF40">
        <v>53.9</v>
      </c>
      <c r="CG40">
        <v>51.6</v>
      </c>
      <c r="CH40">
        <v>49</v>
      </c>
      <c r="CI40">
        <v>46.1</v>
      </c>
      <c r="CJ40">
        <v>43</v>
      </c>
      <c r="CK40">
        <v>39.700000000000003</v>
      </c>
      <c r="CL40">
        <v>36.299999999999997</v>
      </c>
      <c r="CM40">
        <v>32.700000000000003</v>
      </c>
      <c r="CN40">
        <v>29.2</v>
      </c>
      <c r="CO40">
        <v>25.6</v>
      </c>
      <c r="CP40">
        <v>22.1</v>
      </c>
      <c r="CQ40">
        <v>18.7</v>
      </c>
      <c r="CR40">
        <v>15.4</v>
      </c>
      <c r="CS40">
        <v>12.4</v>
      </c>
      <c r="CT40">
        <v>9.73</v>
      </c>
      <c r="CU40">
        <v>7.39</v>
      </c>
      <c r="CV40">
        <v>5.44</v>
      </c>
      <c r="CW40">
        <v>3.9</v>
      </c>
      <c r="CX40">
        <v>2.82</v>
      </c>
      <c r="CY40">
        <v>2.21</v>
      </c>
      <c r="CZ40">
        <v>2.0499999999999998</v>
      </c>
      <c r="DA40">
        <v>2.29</v>
      </c>
      <c r="DB40">
        <v>2.9</v>
      </c>
    </row>
    <row r="41" spans="1:106" x14ac:dyDescent="0.25">
      <c r="A41" s="59"/>
      <c r="B41" s="59"/>
      <c r="C41" t="s">
        <v>55</v>
      </c>
      <c r="D41">
        <v>25</v>
      </c>
      <c r="E41" t="s">
        <v>2</v>
      </c>
      <c r="F41">
        <v>-3.82</v>
      </c>
      <c r="G41">
        <v>-5.04</v>
      </c>
      <c r="H41">
        <v>-5.95</v>
      </c>
      <c r="I41">
        <v>-6.48</v>
      </c>
      <c r="J41">
        <v>-6.53</v>
      </c>
      <c r="K41">
        <v>-6.09</v>
      </c>
      <c r="L41">
        <v>-5.28</v>
      </c>
      <c r="M41">
        <v>-4.2</v>
      </c>
      <c r="N41">
        <v>-2.94</v>
      </c>
      <c r="O41">
        <v>-1.61</v>
      </c>
      <c r="P41">
        <v>-0.3</v>
      </c>
      <c r="Q41">
        <v>0.93</v>
      </c>
      <c r="R41">
        <v>2.04</v>
      </c>
      <c r="S41">
        <v>2.99</v>
      </c>
      <c r="T41">
        <v>3.79</v>
      </c>
      <c r="U41">
        <v>4.45</v>
      </c>
      <c r="V41">
        <v>4.97</v>
      </c>
      <c r="W41">
        <v>5.4</v>
      </c>
      <c r="X41">
        <v>5.74</v>
      </c>
      <c r="Y41">
        <v>6.02</v>
      </c>
      <c r="Z41">
        <v>6.26</v>
      </c>
      <c r="AA41">
        <v>6.46</v>
      </c>
      <c r="AB41">
        <v>6.64</v>
      </c>
      <c r="AC41">
        <v>6.8</v>
      </c>
      <c r="AD41">
        <v>6.96</v>
      </c>
      <c r="AE41">
        <v>7.11</v>
      </c>
      <c r="AF41">
        <v>7.25</v>
      </c>
      <c r="AG41">
        <v>7.4</v>
      </c>
      <c r="AH41">
        <v>7.55</v>
      </c>
      <c r="AI41">
        <v>7.69</v>
      </c>
      <c r="AJ41">
        <v>7.83</v>
      </c>
      <c r="AK41">
        <v>7.95</v>
      </c>
      <c r="AL41">
        <v>8.07</v>
      </c>
      <c r="AM41">
        <v>8.17</v>
      </c>
      <c r="AN41">
        <v>8.26</v>
      </c>
      <c r="AO41">
        <v>8.33</v>
      </c>
      <c r="AP41">
        <v>8.3800000000000008</v>
      </c>
      <c r="AQ41">
        <v>8.43</v>
      </c>
      <c r="AR41">
        <v>8.4600000000000009</v>
      </c>
      <c r="AS41">
        <v>8.49</v>
      </c>
      <c r="AT41">
        <v>8.5</v>
      </c>
      <c r="AU41">
        <v>8.5</v>
      </c>
      <c r="AV41">
        <v>8.4700000000000006</v>
      </c>
      <c r="AW41">
        <v>8.39</v>
      </c>
      <c r="AX41">
        <v>8.23</v>
      </c>
      <c r="AY41">
        <v>7.94</v>
      </c>
      <c r="AZ41">
        <v>7.49</v>
      </c>
      <c r="BA41">
        <v>6.81</v>
      </c>
      <c r="BB41">
        <v>5.85</v>
      </c>
      <c r="BC41">
        <v>4.54</v>
      </c>
      <c r="BD41">
        <v>2.9</v>
      </c>
      <c r="BE41">
        <v>0.79</v>
      </c>
      <c r="BF41">
        <v>-1.67</v>
      </c>
      <c r="BG41">
        <v>-4.47</v>
      </c>
      <c r="BH41">
        <v>-7.52</v>
      </c>
      <c r="BI41">
        <v>-10.6</v>
      </c>
      <c r="BJ41">
        <v>-13.7</v>
      </c>
      <c r="BK41">
        <v>-16.399999999999999</v>
      </c>
      <c r="BL41">
        <v>-18.8</v>
      </c>
      <c r="BM41">
        <v>-20.6</v>
      </c>
      <c r="BN41">
        <v>-21.9</v>
      </c>
      <c r="BO41">
        <v>-22.5</v>
      </c>
      <c r="BP41">
        <v>-22.5</v>
      </c>
      <c r="BQ41">
        <v>-22.1</v>
      </c>
      <c r="BR41">
        <v>-21.1</v>
      </c>
      <c r="BS41">
        <v>-19.8</v>
      </c>
      <c r="BT41">
        <v>-18.3</v>
      </c>
      <c r="BU41">
        <v>-16.5</v>
      </c>
      <c r="BV41">
        <v>-14.7</v>
      </c>
      <c r="BW41">
        <v>-12.9</v>
      </c>
      <c r="BX41">
        <v>-11.2</v>
      </c>
      <c r="BY41">
        <v>-9.51</v>
      </c>
      <c r="BZ41">
        <v>-7.97</v>
      </c>
      <c r="CA41">
        <v>-6.58</v>
      </c>
      <c r="CB41">
        <v>-5.34</v>
      </c>
      <c r="CC41">
        <v>-4.25</v>
      </c>
      <c r="CD41">
        <v>-3.33</v>
      </c>
      <c r="CE41">
        <v>-2.56</v>
      </c>
      <c r="CF41">
        <v>-1.94</v>
      </c>
      <c r="CG41">
        <v>-1.46</v>
      </c>
      <c r="CH41">
        <v>-1.1000000000000001</v>
      </c>
      <c r="CI41">
        <v>-0.85</v>
      </c>
      <c r="CJ41">
        <v>-0.7</v>
      </c>
      <c r="CK41">
        <v>-0.61</v>
      </c>
      <c r="CL41">
        <v>-0.55000000000000004</v>
      </c>
      <c r="CM41">
        <v>-0.5</v>
      </c>
      <c r="CN41">
        <v>-0.42</v>
      </c>
      <c r="CO41">
        <v>-0.28999999999999998</v>
      </c>
      <c r="CP41">
        <v>-7.9000000000000001E-2</v>
      </c>
      <c r="CQ41">
        <v>0.21</v>
      </c>
      <c r="CR41">
        <v>0.54</v>
      </c>
      <c r="CS41">
        <v>0.88</v>
      </c>
      <c r="CT41">
        <v>1.2</v>
      </c>
      <c r="CU41">
        <v>1.4</v>
      </c>
      <c r="CV41">
        <v>1.45</v>
      </c>
      <c r="CW41">
        <v>1.29</v>
      </c>
      <c r="CX41">
        <v>0.9</v>
      </c>
      <c r="CY41">
        <v>0.22</v>
      </c>
      <c r="CZ41">
        <v>-0.68</v>
      </c>
      <c r="DA41">
        <v>-1.73</v>
      </c>
      <c r="DB41">
        <v>-2.89</v>
      </c>
    </row>
    <row r="42" spans="1:106" x14ac:dyDescent="0.25">
      <c r="A42" s="59"/>
      <c r="B42" s="59"/>
      <c r="C42" t="s">
        <v>56</v>
      </c>
      <c r="D42">
        <v>25</v>
      </c>
      <c r="E42" t="s">
        <v>2</v>
      </c>
      <c r="F42">
        <v>1.88</v>
      </c>
      <c r="G42">
        <v>2.1800000000000002</v>
      </c>
      <c r="H42">
        <v>2.5</v>
      </c>
      <c r="I42">
        <v>2.85</v>
      </c>
      <c r="J42">
        <v>3.2</v>
      </c>
      <c r="K42">
        <v>3.57</v>
      </c>
      <c r="L42">
        <v>3.94</v>
      </c>
      <c r="M42">
        <v>4.3</v>
      </c>
      <c r="N42">
        <v>4.6399999999999997</v>
      </c>
      <c r="O42">
        <v>4.96</v>
      </c>
      <c r="P42">
        <v>5.23</v>
      </c>
      <c r="Q42">
        <v>5.47</v>
      </c>
      <c r="R42">
        <v>5.65</v>
      </c>
      <c r="S42">
        <v>5.77</v>
      </c>
      <c r="T42">
        <v>5.83</v>
      </c>
      <c r="U42">
        <v>5.83</v>
      </c>
      <c r="V42">
        <v>5.77</v>
      </c>
      <c r="W42">
        <v>5.64</v>
      </c>
      <c r="X42">
        <v>5.45</v>
      </c>
      <c r="Y42">
        <v>5.22</v>
      </c>
      <c r="Z42">
        <v>4.93</v>
      </c>
      <c r="AA42">
        <v>4.6100000000000003</v>
      </c>
      <c r="AB42">
        <v>4.25</v>
      </c>
      <c r="AC42">
        <v>3.87</v>
      </c>
      <c r="AD42">
        <v>3.48</v>
      </c>
      <c r="AE42">
        <v>3.08</v>
      </c>
      <c r="AF42">
        <v>2.68</v>
      </c>
      <c r="AG42">
        <v>2.29</v>
      </c>
      <c r="AH42">
        <v>1.93</v>
      </c>
      <c r="AI42">
        <v>1.58</v>
      </c>
      <c r="AJ42">
        <v>1.27</v>
      </c>
      <c r="AK42">
        <v>0.99</v>
      </c>
      <c r="AL42">
        <v>0.74</v>
      </c>
      <c r="AM42">
        <v>0.53</v>
      </c>
      <c r="AN42">
        <v>0.35</v>
      </c>
      <c r="AO42">
        <v>0.2</v>
      </c>
      <c r="AP42">
        <v>8.5999999999999993E-2</v>
      </c>
      <c r="AQ42">
        <v>-8.0000000000000002E-3</v>
      </c>
      <c r="AR42">
        <v>-8.3000000000000004E-2</v>
      </c>
      <c r="AS42">
        <v>-0.14000000000000001</v>
      </c>
      <c r="AT42">
        <v>-0.2</v>
      </c>
      <c r="AU42">
        <v>-0.25</v>
      </c>
      <c r="AV42">
        <v>-0.3</v>
      </c>
      <c r="AW42">
        <v>-0.37</v>
      </c>
      <c r="AX42">
        <v>-0.45</v>
      </c>
      <c r="AY42">
        <v>-0.55000000000000004</v>
      </c>
      <c r="AZ42">
        <v>-0.68</v>
      </c>
      <c r="BA42">
        <v>-0.83</v>
      </c>
      <c r="BB42">
        <v>-1.02</v>
      </c>
      <c r="BC42">
        <v>-1.24</v>
      </c>
      <c r="BD42">
        <v>-1.48</v>
      </c>
      <c r="BE42">
        <v>-1.77</v>
      </c>
      <c r="BF42">
        <v>-2.0699999999999998</v>
      </c>
      <c r="BG42">
        <v>-2.4</v>
      </c>
      <c r="BH42">
        <v>-2.76</v>
      </c>
      <c r="BI42">
        <v>-3.12</v>
      </c>
      <c r="BJ42">
        <v>-3.48</v>
      </c>
      <c r="BK42">
        <v>-3.84</v>
      </c>
      <c r="BL42">
        <v>-4.18</v>
      </c>
      <c r="BM42">
        <v>-4.5</v>
      </c>
      <c r="BN42">
        <v>-4.78</v>
      </c>
      <c r="BO42">
        <v>-5.03</v>
      </c>
      <c r="BP42">
        <v>-5.22</v>
      </c>
      <c r="BQ42">
        <v>-5.36</v>
      </c>
      <c r="BR42">
        <v>-5.43</v>
      </c>
      <c r="BS42">
        <v>-5.45</v>
      </c>
      <c r="BT42">
        <v>-5.41</v>
      </c>
      <c r="BU42">
        <v>-5.3</v>
      </c>
      <c r="BV42">
        <v>-5.14</v>
      </c>
      <c r="BW42">
        <v>-4.93</v>
      </c>
      <c r="BX42">
        <v>-4.67</v>
      </c>
      <c r="BY42">
        <v>-4.38</v>
      </c>
      <c r="BZ42">
        <v>-4.05</v>
      </c>
      <c r="CA42">
        <v>-3.7</v>
      </c>
      <c r="CB42">
        <v>-3.34</v>
      </c>
      <c r="CC42">
        <v>-2.96</v>
      </c>
      <c r="CD42">
        <v>-2.59</v>
      </c>
      <c r="CE42">
        <v>-2.23</v>
      </c>
      <c r="CF42">
        <v>-1.88</v>
      </c>
      <c r="CG42">
        <v>-1.56</v>
      </c>
      <c r="CH42">
        <v>-1.25</v>
      </c>
      <c r="CI42">
        <v>-0.98</v>
      </c>
      <c r="CJ42">
        <v>-0.73</v>
      </c>
      <c r="CK42">
        <v>-0.51</v>
      </c>
      <c r="CL42">
        <v>-0.32</v>
      </c>
      <c r="CM42">
        <v>-0.16</v>
      </c>
      <c r="CN42">
        <v>-1.7000000000000001E-2</v>
      </c>
      <c r="CO42">
        <v>0.1</v>
      </c>
      <c r="CP42">
        <v>0.21</v>
      </c>
      <c r="CQ42">
        <v>0.3</v>
      </c>
      <c r="CR42">
        <v>0.39</v>
      </c>
      <c r="CS42">
        <v>0.48</v>
      </c>
      <c r="CT42">
        <v>0.56000000000000005</v>
      </c>
      <c r="CU42">
        <v>0.66</v>
      </c>
      <c r="CV42">
        <v>0.77</v>
      </c>
      <c r="CW42">
        <v>0.9</v>
      </c>
      <c r="CX42">
        <v>1.05</v>
      </c>
      <c r="CY42">
        <v>1.22</v>
      </c>
      <c r="CZ42">
        <v>1.42</v>
      </c>
      <c r="DA42">
        <v>1.64</v>
      </c>
      <c r="DB42">
        <v>1.89</v>
      </c>
    </row>
    <row r="43" spans="1:106" x14ac:dyDescent="0.25">
      <c r="A43" s="59"/>
      <c r="B43" s="59"/>
      <c r="C43" t="s">
        <v>57</v>
      </c>
      <c r="D43">
        <v>25</v>
      </c>
      <c r="E43" t="s">
        <v>2</v>
      </c>
      <c r="F43">
        <v>-1.84</v>
      </c>
      <c r="G43">
        <v>-1.21</v>
      </c>
      <c r="H43">
        <v>-0.54</v>
      </c>
      <c r="I43">
        <v>0.17</v>
      </c>
      <c r="J43">
        <v>0.93</v>
      </c>
      <c r="K43">
        <v>1.69</v>
      </c>
      <c r="L43">
        <v>2.46</v>
      </c>
      <c r="M43">
        <v>3.21</v>
      </c>
      <c r="N43">
        <v>3.94</v>
      </c>
      <c r="O43">
        <v>4.63</v>
      </c>
      <c r="P43">
        <v>5.27</v>
      </c>
      <c r="Q43">
        <v>5.86</v>
      </c>
      <c r="R43">
        <v>6.39</v>
      </c>
      <c r="S43">
        <v>6.84</v>
      </c>
      <c r="T43">
        <v>7.22</v>
      </c>
      <c r="U43">
        <v>7.52</v>
      </c>
      <c r="V43">
        <v>7.74</v>
      </c>
      <c r="W43">
        <v>7.88</v>
      </c>
      <c r="X43">
        <v>7.95</v>
      </c>
      <c r="Y43">
        <v>7.94</v>
      </c>
      <c r="Z43">
        <v>7.86</v>
      </c>
      <c r="AA43">
        <v>7.73</v>
      </c>
      <c r="AB43">
        <v>7.54</v>
      </c>
      <c r="AC43">
        <v>7.31</v>
      </c>
      <c r="AD43">
        <v>7.04</v>
      </c>
      <c r="AE43">
        <v>6.76</v>
      </c>
      <c r="AF43">
        <v>6.46</v>
      </c>
      <c r="AG43">
        <v>6.16</v>
      </c>
      <c r="AH43">
        <v>5.87</v>
      </c>
      <c r="AI43">
        <v>5.59</v>
      </c>
      <c r="AJ43">
        <v>5.33</v>
      </c>
      <c r="AK43">
        <v>5.09</v>
      </c>
      <c r="AL43">
        <v>4.8600000000000003</v>
      </c>
      <c r="AM43">
        <v>4.66</v>
      </c>
      <c r="AN43">
        <v>4.46</v>
      </c>
      <c r="AO43">
        <v>4.28</v>
      </c>
      <c r="AP43">
        <v>4.0999999999999996</v>
      </c>
      <c r="AQ43">
        <v>3.92</v>
      </c>
      <c r="AR43">
        <v>3.74</v>
      </c>
      <c r="AS43">
        <v>3.54</v>
      </c>
      <c r="AT43">
        <v>3.32</v>
      </c>
      <c r="AU43">
        <v>3.08</v>
      </c>
      <c r="AV43">
        <v>2.81</v>
      </c>
      <c r="AW43">
        <v>2.5099999999999998</v>
      </c>
      <c r="AX43">
        <v>2.1800000000000002</v>
      </c>
      <c r="AY43">
        <v>1.81</v>
      </c>
      <c r="AZ43">
        <v>1.41</v>
      </c>
      <c r="BA43">
        <v>0.99</v>
      </c>
      <c r="BB43">
        <v>0.53</v>
      </c>
      <c r="BC43">
        <v>5.3999999999999999E-2</v>
      </c>
      <c r="BD43">
        <v>-0.45</v>
      </c>
      <c r="BE43">
        <v>-0.97</v>
      </c>
      <c r="BF43">
        <v>-1.5</v>
      </c>
      <c r="BG43">
        <v>-2.04</v>
      </c>
      <c r="BH43">
        <v>-2.59</v>
      </c>
      <c r="BI43">
        <v>-3.14</v>
      </c>
      <c r="BJ43">
        <v>-3.68</v>
      </c>
      <c r="BK43">
        <v>-4.2</v>
      </c>
      <c r="BL43">
        <v>-4.7</v>
      </c>
      <c r="BM43">
        <v>-5.15</v>
      </c>
      <c r="BN43">
        <v>-5.55</v>
      </c>
      <c r="BO43">
        <v>-5.89</v>
      </c>
      <c r="BP43">
        <v>-6.16</v>
      </c>
      <c r="BQ43">
        <v>-6.36</v>
      </c>
      <c r="BR43">
        <v>-6.47</v>
      </c>
      <c r="BS43">
        <v>-6.5</v>
      </c>
      <c r="BT43">
        <v>-6.46</v>
      </c>
      <c r="BU43">
        <v>-6.35</v>
      </c>
      <c r="BV43">
        <v>-6.18</v>
      </c>
      <c r="BW43">
        <v>-5.96</v>
      </c>
      <c r="BX43">
        <v>-5.7</v>
      </c>
      <c r="BY43">
        <v>-5.4</v>
      </c>
      <c r="BZ43">
        <v>-5.0999999999999996</v>
      </c>
      <c r="CA43">
        <v>-4.79</v>
      </c>
      <c r="CB43">
        <v>-4.4800000000000004</v>
      </c>
      <c r="CC43">
        <v>-4.2</v>
      </c>
      <c r="CD43">
        <v>-3.95</v>
      </c>
      <c r="CE43">
        <v>-3.74</v>
      </c>
      <c r="CF43">
        <v>-3.57</v>
      </c>
      <c r="CG43">
        <v>-3.45</v>
      </c>
      <c r="CH43">
        <v>-3.37</v>
      </c>
      <c r="CI43">
        <v>-3.34</v>
      </c>
      <c r="CJ43">
        <v>-3.35</v>
      </c>
      <c r="CK43">
        <v>-3.39</v>
      </c>
      <c r="CL43">
        <v>-3.45</v>
      </c>
      <c r="CM43">
        <v>-3.54</v>
      </c>
      <c r="CN43">
        <v>-3.64</v>
      </c>
      <c r="CO43">
        <v>-3.75</v>
      </c>
      <c r="CP43">
        <v>-3.87</v>
      </c>
      <c r="CQ43">
        <v>-3.98</v>
      </c>
      <c r="CR43">
        <v>-4.09</v>
      </c>
      <c r="CS43">
        <v>-4.18</v>
      </c>
      <c r="CT43">
        <v>-4.24</v>
      </c>
      <c r="CU43">
        <v>-4.2699999999999996</v>
      </c>
      <c r="CV43">
        <v>-4.25</v>
      </c>
      <c r="CW43">
        <v>-4.17</v>
      </c>
      <c r="CX43">
        <v>-4.0199999999999996</v>
      </c>
      <c r="CY43">
        <v>-3.8</v>
      </c>
      <c r="CZ43">
        <v>-3.5</v>
      </c>
      <c r="DA43">
        <v>-3.12</v>
      </c>
      <c r="DB43">
        <v>-2.67</v>
      </c>
    </row>
    <row r="44" spans="1:106" x14ac:dyDescent="0.25">
      <c r="A44" s="59"/>
      <c r="B44" s="59"/>
      <c r="C44" t="s">
        <v>58</v>
      </c>
      <c r="D44">
        <v>25</v>
      </c>
      <c r="E44" t="s">
        <v>2</v>
      </c>
      <c r="F44">
        <v>-2.17</v>
      </c>
      <c r="G44">
        <v>-2.2000000000000002</v>
      </c>
      <c r="H44">
        <v>-2.19</v>
      </c>
      <c r="I44">
        <v>-2.12</v>
      </c>
      <c r="J44">
        <v>-1.95</v>
      </c>
      <c r="K44">
        <v>-1.69</v>
      </c>
      <c r="L44">
        <v>-1.37</v>
      </c>
      <c r="M44">
        <v>-1</v>
      </c>
      <c r="N44">
        <v>-0.64</v>
      </c>
      <c r="O44">
        <v>-0.34</v>
      </c>
      <c r="P44">
        <v>-0.12</v>
      </c>
      <c r="Q44">
        <v>-4.0000000000000001E-3</v>
      </c>
      <c r="R44">
        <v>9.4999999999999998E-3</v>
      </c>
      <c r="S44">
        <v>-7.2999999999999995E-2</v>
      </c>
      <c r="T44">
        <v>-0.21</v>
      </c>
      <c r="U44">
        <v>-0.39</v>
      </c>
      <c r="V44">
        <v>-0.59</v>
      </c>
      <c r="W44">
        <v>-0.78</v>
      </c>
      <c r="X44">
        <v>-0.95</v>
      </c>
      <c r="Y44">
        <v>-1.1000000000000001</v>
      </c>
      <c r="Z44">
        <v>-1.24</v>
      </c>
      <c r="AA44">
        <v>-1.35</v>
      </c>
      <c r="AB44">
        <v>-1.45</v>
      </c>
      <c r="AC44">
        <v>-1.53</v>
      </c>
      <c r="AD44">
        <v>-1.6</v>
      </c>
      <c r="AE44">
        <v>-1.66</v>
      </c>
      <c r="AF44">
        <v>-1.72</v>
      </c>
      <c r="AG44">
        <v>-1.78</v>
      </c>
      <c r="AH44">
        <v>-1.84</v>
      </c>
      <c r="AI44">
        <v>-1.89</v>
      </c>
      <c r="AJ44">
        <v>-1.93</v>
      </c>
      <c r="AK44">
        <v>-1.97</v>
      </c>
      <c r="AL44">
        <v>-2</v>
      </c>
      <c r="AM44">
        <v>-2.02</v>
      </c>
      <c r="AN44">
        <v>-2.02</v>
      </c>
      <c r="AO44">
        <v>-2.02</v>
      </c>
      <c r="AP44">
        <v>-2.0099999999999998</v>
      </c>
      <c r="AQ44">
        <v>-1.99</v>
      </c>
      <c r="AR44">
        <v>-1.96</v>
      </c>
      <c r="AS44">
        <v>-1.94</v>
      </c>
      <c r="AT44">
        <v>-1.91</v>
      </c>
      <c r="AU44">
        <v>-1.89</v>
      </c>
      <c r="AV44">
        <v>-1.87</v>
      </c>
      <c r="AW44">
        <v>-1.86</v>
      </c>
      <c r="AX44">
        <v>-1.87</v>
      </c>
      <c r="AY44">
        <v>-1.89</v>
      </c>
      <c r="AZ44">
        <v>-1.93</v>
      </c>
      <c r="BA44">
        <v>-1.98</v>
      </c>
      <c r="BB44">
        <v>-2.06</v>
      </c>
      <c r="BC44">
        <v>-2.16</v>
      </c>
      <c r="BD44">
        <v>-2.2599999999999998</v>
      </c>
      <c r="BE44">
        <v>-2.37</v>
      </c>
      <c r="BF44">
        <v>-2.46</v>
      </c>
      <c r="BG44">
        <v>-2.5299999999999998</v>
      </c>
      <c r="BH44">
        <v>-2.5499999999999998</v>
      </c>
      <c r="BI44">
        <v>-2.52</v>
      </c>
      <c r="BJ44">
        <v>-2.4300000000000002</v>
      </c>
      <c r="BK44">
        <v>-2.27</v>
      </c>
      <c r="BL44">
        <v>-2.1</v>
      </c>
      <c r="BM44">
        <v>-1.93</v>
      </c>
      <c r="BN44">
        <v>-1.81</v>
      </c>
      <c r="BO44">
        <v>-1.79</v>
      </c>
      <c r="BP44">
        <v>-1.89</v>
      </c>
      <c r="BQ44">
        <v>-2.13</v>
      </c>
      <c r="BR44">
        <v>-2.5</v>
      </c>
      <c r="BS44">
        <v>-2.97</v>
      </c>
      <c r="BT44">
        <v>-3.47</v>
      </c>
      <c r="BU44">
        <v>-3.92</v>
      </c>
      <c r="BV44">
        <v>-4.26</v>
      </c>
      <c r="BW44">
        <v>-4.4400000000000004</v>
      </c>
      <c r="BX44">
        <v>-4.4000000000000004</v>
      </c>
      <c r="BY44">
        <v>-4.13</v>
      </c>
      <c r="BZ44">
        <v>-3.61</v>
      </c>
      <c r="CA44">
        <v>-2.87</v>
      </c>
      <c r="CB44">
        <v>-1.95</v>
      </c>
      <c r="CC44">
        <v>-0.92</v>
      </c>
      <c r="CD44">
        <v>0.2</v>
      </c>
      <c r="CE44">
        <v>1.31</v>
      </c>
      <c r="CF44">
        <v>2.35</v>
      </c>
      <c r="CG44">
        <v>3.24</v>
      </c>
      <c r="CH44">
        <v>3.92</v>
      </c>
      <c r="CI44">
        <v>4.33</v>
      </c>
      <c r="CJ44">
        <v>4.46</v>
      </c>
      <c r="CK44">
        <v>4.3099999999999996</v>
      </c>
      <c r="CL44">
        <v>3.89</v>
      </c>
      <c r="CM44">
        <v>3.24</v>
      </c>
      <c r="CN44">
        <v>2.44</v>
      </c>
      <c r="CO44">
        <v>1.56</v>
      </c>
      <c r="CP44">
        <v>0.69</v>
      </c>
      <c r="CQ44">
        <v>-0.11</v>
      </c>
      <c r="CR44">
        <v>-0.78</v>
      </c>
      <c r="CS44">
        <v>-1.3</v>
      </c>
      <c r="CT44">
        <v>-1.67</v>
      </c>
      <c r="CU44">
        <v>-1.9</v>
      </c>
      <c r="CV44">
        <v>-2.04</v>
      </c>
      <c r="CW44">
        <v>-2.11</v>
      </c>
      <c r="CX44">
        <v>-2.15</v>
      </c>
      <c r="CY44">
        <v>-2.17</v>
      </c>
      <c r="CZ44">
        <v>-2.2000000000000002</v>
      </c>
      <c r="DA44">
        <v>-2.2200000000000002</v>
      </c>
      <c r="DB44">
        <v>-2.23</v>
      </c>
    </row>
    <row r="45" spans="1:106" x14ac:dyDescent="0.25">
      <c r="A45" s="59"/>
      <c r="B45" s="59"/>
      <c r="C45" t="s">
        <v>59</v>
      </c>
      <c r="D45">
        <v>25</v>
      </c>
      <c r="E45" t="s">
        <v>2</v>
      </c>
      <c r="F45">
        <v>9.0500000000000007</v>
      </c>
      <c r="G45">
        <v>8.9499999999999993</v>
      </c>
      <c r="H45">
        <v>8.81</v>
      </c>
      <c r="I45">
        <v>8.64</v>
      </c>
      <c r="J45">
        <v>8.4499999999999993</v>
      </c>
      <c r="K45">
        <v>8.23</v>
      </c>
      <c r="L45">
        <v>8.01</v>
      </c>
      <c r="M45">
        <v>7.77</v>
      </c>
      <c r="N45">
        <v>7.53</v>
      </c>
      <c r="O45">
        <v>7.28</v>
      </c>
      <c r="P45">
        <v>7.03</v>
      </c>
      <c r="Q45">
        <v>6.79</v>
      </c>
      <c r="R45">
        <v>6.54</v>
      </c>
      <c r="S45">
        <v>6.28</v>
      </c>
      <c r="T45">
        <v>6.02</v>
      </c>
      <c r="U45">
        <v>5.75</v>
      </c>
      <c r="V45">
        <v>5.46</v>
      </c>
      <c r="W45">
        <v>5.16</v>
      </c>
      <c r="X45">
        <v>4.84</v>
      </c>
      <c r="Y45">
        <v>4.51</v>
      </c>
      <c r="Z45">
        <v>4.1500000000000004</v>
      </c>
      <c r="AA45">
        <v>3.77</v>
      </c>
      <c r="AB45">
        <v>3.37</v>
      </c>
      <c r="AC45">
        <v>2.95</v>
      </c>
      <c r="AD45">
        <v>2.5099999999999998</v>
      </c>
      <c r="AE45">
        <v>2.0499999999999998</v>
      </c>
      <c r="AF45">
        <v>1.58</v>
      </c>
      <c r="AG45">
        <v>1.0900000000000001</v>
      </c>
      <c r="AH45">
        <v>0.57999999999999996</v>
      </c>
      <c r="AI45">
        <v>6.6000000000000003E-2</v>
      </c>
      <c r="AJ45">
        <v>-0.46</v>
      </c>
      <c r="AK45">
        <v>-0.99</v>
      </c>
      <c r="AL45">
        <v>-1.53</v>
      </c>
      <c r="AM45">
        <v>-2.06</v>
      </c>
      <c r="AN45">
        <v>-2.59</v>
      </c>
      <c r="AO45">
        <v>-3.12</v>
      </c>
      <c r="AP45">
        <v>-3.64</v>
      </c>
      <c r="AQ45">
        <v>-4.1500000000000004</v>
      </c>
      <c r="AR45">
        <v>-4.6399999999999997</v>
      </c>
      <c r="AS45">
        <v>-5.1100000000000003</v>
      </c>
      <c r="AT45">
        <v>-5.56</v>
      </c>
      <c r="AU45">
        <v>-5.97</v>
      </c>
      <c r="AV45">
        <v>-6.36</v>
      </c>
      <c r="AW45">
        <v>-6.71</v>
      </c>
      <c r="AX45">
        <v>-7.03</v>
      </c>
      <c r="AY45">
        <v>-7.29</v>
      </c>
      <c r="AZ45">
        <v>-7.52</v>
      </c>
      <c r="BA45">
        <v>-7.69</v>
      </c>
      <c r="BB45">
        <v>-7.82</v>
      </c>
      <c r="BC45">
        <v>-7.89</v>
      </c>
      <c r="BD45">
        <v>-7.92</v>
      </c>
      <c r="BE45">
        <v>-7.89</v>
      </c>
      <c r="BF45">
        <v>-7.83</v>
      </c>
      <c r="BG45">
        <v>-7.71</v>
      </c>
      <c r="BH45">
        <v>-7.56</v>
      </c>
      <c r="BI45">
        <v>-7.38</v>
      </c>
      <c r="BJ45">
        <v>-7.16</v>
      </c>
      <c r="BK45">
        <v>-6.92</v>
      </c>
      <c r="BL45">
        <v>-6.66</v>
      </c>
      <c r="BM45">
        <v>-6.38</v>
      </c>
      <c r="BN45">
        <v>-6.09</v>
      </c>
      <c r="BO45">
        <v>-5.78</v>
      </c>
      <c r="BP45">
        <v>-5.46</v>
      </c>
      <c r="BQ45">
        <v>-5.13</v>
      </c>
      <c r="BR45">
        <v>-4.78</v>
      </c>
      <c r="BS45">
        <v>-4.43</v>
      </c>
      <c r="BT45">
        <v>-4.0599999999999996</v>
      </c>
      <c r="BU45">
        <v>-3.67</v>
      </c>
      <c r="BV45">
        <v>-3.28</v>
      </c>
      <c r="BW45">
        <v>-2.87</v>
      </c>
      <c r="BX45">
        <v>-2.44</v>
      </c>
      <c r="BY45">
        <v>-2.0099999999999998</v>
      </c>
      <c r="BZ45">
        <v>-1.56</v>
      </c>
      <c r="CA45">
        <v>-1.1000000000000001</v>
      </c>
      <c r="CB45">
        <v>-0.62</v>
      </c>
      <c r="CC45">
        <v>-0.14000000000000001</v>
      </c>
      <c r="CD45">
        <v>0.36</v>
      </c>
      <c r="CE45">
        <v>0.87</v>
      </c>
      <c r="CF45">
        <v>1.39</v>
      </c>
      <c r="CG45">
        <v>1.92</v>
      </c>
      <c r="CH45">
        <v>2.4500000000000002</v>
      </c>
      <c r="CI45">
        <v>3</v>
      </c>
      <c r="CJ45">
        <v>3.55</v>
      </c>
      <c r="CK45">
        <v>4.0999999999999996</v>
      </c>
      <c r="CL45">
        <v>4.66</v>
      </c>
      <c r="CM45">
        <v>5.21</v>
      </c>
      <c r="CN45">
        <v>5.75</v>
      </c>
      <c r="CO45">
        <v>6.29</v>
      </c>
      <c r="CP45">
        <v>6.81</v>
      </c>
      <c r="CQ45">
        <v>7.32</v>
      </c>
      <c r="CR45">
        <v>7.79</v>
      </c>
      <c r="CS45">
        <v>8.25</v>
      </c>
      <c r="CT45">
        <v>8.66</v>
      </c>
      <c r="CU45">
        <v>9.0399999999999991</v>
      </c>
      <c r="CV45">
        <v>9.3800000000000008</v>
      </c>
      <c r="CW45">
        <v>9.67</v>
      </c>
      <c r="CX45">
        <v>9.91</v>
      </c>
      <c r="CY45">
        <v>10.1</v>
      </c>
      <c r="CZ45">
        <v>10.199999999999999</v>
      </c>
      <c r="DA45">
        <v>10.3</v>
      </c>
      <c r="DB45">
        <v>10.4</v>
      </c>
    </row>
    <row r="46" spans="1:106" x14ac:dyDescent="0.25">
      <c r="A46" s="59"/>
      <c r="B46" s="59"/>
      <c r="C46" t="s">
        <v>60</v>
      </c>
      <c r="D46">
        <v>25</v>
      </c>
      <c r="E46" t="s">
        <v>2</v>
      </c>
      <c r="F46">
        <v>-8.67</v>
      </c>
      <c r="G46">
        <v>-8.0299999999999994</v>
      </c>
      <c r="H46">
        <v>-7.23</v>
      </c>
      <c r="I46">
        <v>-6.28</v>
      </c>
      <c r="J46">
        <v>-5.16</v>
      </c>
      <c r="K46">
        <v>-3.94</v>
      </c>
      <c r="L46">
        <v>-2.71</v>
      </c>
      <c r="M46">
        <v>-1.52</v>
      </c>
      <c r="N46">
        <v>-0.48</v>
      </c>
      <c r="O46">
        <v>0.35</v>
      </c>
      <c r="P46">
        <v>0.95</v>
      </c>
      <c r="Q46">
        <v>1.31</v>
      </c>
      <c r="R46">
        <v>1.45</v>
      </c>
      <c r="S46">
        <v>1.43</v>
      </c>
      <c r="T46">
        <v>1.31</v>
      </c>
      <c r="U46">
        <v>1.1399999999999999</v>
      </c>
      <c r="V46">
        <v>0.97</v>
      </c>
      <c r="W46">
        <v>0.83</v>
      </c>
      <c r="X46">
        <v>0.73</v>
      </c>
      <c r="Y46">
        <v>0.65</v>
      </c>
      <c r="Z46">
        <v>0.63</v>
      </c>
      <c r="AA46">
        <v>0.63</v>
      </c>
      <c r="AB46">
        <v>0.65</v>
      </c>
      <c r="AC46">
        <v>0.7</v>
      </c>
      <c r="AD46">
        <v>0.76</v>
      </c>
      <c r="AE46">
        <v>0.86</v>
      </c>
      <c r="AF46">
        <v>0.98</v>
      </c>
      <c r="AG46">
        <v>1.1499999999999999</v>
      </c>
      <c r="AH46">
        <v>1.36</v>
      </c>
      <c r="AI46">
        <v>1.61</v>
      </c>
      <c r="AJ46">
        <v>1.9</v>
      </c>
      <c r="AK46">
        <v>2.23</v>
      </c>
      <c r="AL46">
        <v>2.57</v>
      </c>
      <c r="AM46">
        <v>2.94</v>
      </c>
      <c r="AN46">
        <v>3.29</v>
      </c>
      <c r="AO46">
        <v>3.62</v>
      </c>
      <c r="AP46">
        <v>3.92</v>
      </c>
      <c r="AQ46">
        <v>4.1500000000000004</v>
      </c>
      <c r="AR46">
        <v>4.32</v>
      </c>
      <c r="AS46">
        <v>4.3899999999999997</v>
      </c>
      <c r="AT46">
        <v>4.38</v>
      </c>
      <c r="AU46">
        <v>4.29</v>
      </c>
      <c r="AV46">
        <v>4.0999999999999996</v>
      </c>
      <c r="AW46">
        <v>3.84</v>
      </c>
      <c r="AX46">
        <v>3.52</v>
      </c>
      <c r="AY46">
        <v>3.14</v>
      </c>
      <c r="AZ46">
        <v>2.73</v>
      </c>
      <c r="BA46">
        <v>2.2999999999999998</v>
      </c>
      <c r="BB46">
        <v>1.87</v>
      </c>
      <c r="BC46">
        <v>1.46</v>
      </c>
      <c r="BD46">
        <v>1.07</v>
      </c>
      <c r="BE46">
        <v>0.75</v>
      </c>
      <c r="BF46">
        <v>0.49</v>
      </c>
      <c r="BG46">
        <v>0.31</v>
      </c>
      <c r="BH46">
        <v>0.22</v>
      </c>
      <c r="BI46">
        <v>0.2</v>
      </c>
      <c r="BJ46">
        <v>0.23</v>
      </c>
      <c r="BK46">
        <v>0.28999999999999998</v>
      </c>
      <c r="BL46">
        <v>0.33</v>
      </c>
      <c r="BM46">
        <v>0.32</v>
      </c>
      <c r="BN46">
        <v>0.2</v>
      </c>
      <c r="BO46">
        <v>-0.05</v>
      </c>
      <c r="BP46">
        <v>-0.44</v>
      </c>
      <c r="BQ46">
        <v>-0.98</v>
      </c>
      <c r="BR46">
        <v>-1.62</v>
      </c>
      <c r="BS46">
        <v>-2.34</v>
      </c>
      <c r="BT46">
        <v>-3.07</v>
      </c>
      <c r="BU46">
        <v>-3.75</v>
      </c>
      <c r="BV46">
        <v>-4.32</v>
      </c>
      <c r="BW46">
        <v>-4.7300000000000004</v>
      </c>
      <c r="BX46">
        <v>-4.9400000000000004</v>
      </c>
      <c r="BY46">
        <v>-4.92</v>
      </c>
      <c r="BZ46">
        <v>-4.68</v>
      </c>
      <c r="CA46">
        <v>-4.22</v>
      </c>
      <c r="CB46">
        <v>-3.57</v>
      </c>
      <c r="CC46">
        <v>-2.78</v>
      </c>
      <c r="CD46">
        <v>-1.88</v>
      </c>
      <c r="CE46">
        <v>-0.94</v>
      </c>
      <c r="CF46">
        <v>-2.5999999999999999E-3</v>
      </c>
      <c r="CG46">
        <v>0.85</v>
      </c>
      <c r="CH46">
        <v>1.58</v>
      </c>
      <c r="CI46">
        <v>2.11</v>
      </c>
      <c r="CJ46">
        <v>2.42</v>
      </c>
      <c r="CK46">
        <v>2.4900000000000002</v>
      </c>
      <c r="CL46">
        <v>2.27</v>
      </c>
      <c r="CM46">
        <v>1.77</v>
      </c>
      <c r="CN46">
        <v>1.01</v>
      </c>
      <c r="CO46">
        <v>1.6E-2</v>
      </c>
      <c r="CP46">
        <v>-1.1599999999999999</v>
      </c>
      <c r="CQ46">
        <v>-2.46</v>
      </c>
      <c r="CR46">
        <v>-3.8</v>
      </c>
      <c r="CS46">
        <v>-5.12</v>
      </c>
      <c r="CT46">
        <v>-6.33</v>
      </c>
      <c r="CU46">
        <v>-7.36</v>
      </c>
      <c r="CV46">
        <v>-8.17</v>
      </c>
      <c r="CW46">
        <v>-8.73</v>
      </c>
      <c r="CX46">
        <v>-9.0299999999999994</v>
      </c>
      <c r="CY46">
        <v>-9.0299999999999994</v>
      </c>
      <c r="CZ46">
        <v>-8.7899999999999991</v>
      </c>
      <c r="DA46">
        <v>-8.35</v>
      </c>
      <c r="DB46">
        <v>-7.74</v>
      </c>
    </row>
    <row r="47" spans="1:106" x14ac:dyDescent="0.25">
      <c r="A47" s="59"/>
      <c r="B47" s="59"/>
      <c r="C47" t="s">
        <v>61</v>
      </c>
      <c r="D47">
        <v>25</v>
      </c>
      <c r="E47" t="s">
        <v>2</v>
      </c>
      <c r="F47">
        <v>4.07</v>
      </c>
      <c r="G47">
        <v>4.0199999999999996</v>
      </c>
      <c r="H47">
        <v>4.22</v>
      </c>
      <c r="I47">
        <v>4.6500000000000004</v>
      </c>
      <c r="J47">
        <v>5.29</v>
      </c>
      <c r="K47">
        <v>6.1</v>
      </c>
      <c r="L47">
        <v>6.91</v>
      </c>
      <c r="M47">
        <v>7.63</v>
      </c>
      <c r="N47">
        <v>8.2100000000000009</v>
      </c>
      <c r="O47">
        <v>8.56</v>
      </c>
      <c r="P47">
        <v>8.68</v>
      </c>
      <c r="Q47">
        <v>8.57</v>
      </c>
      <c r="R47">
        <v>8.2799999999999994</v>
      </c>
      <c r="S47">
        <v>7.85</v>
      </c>
      <c r="T47">
        <v>7.34</v>
      </c>
      <c r="U47">
        <v>6.84</v>
      </c>
      <c r="V47">
        <v>6.41</v>
      </c>
      <c r="W47">
        <v>6.09</v>
      </c>
      <c r="X47">
        <v>5.92</v>
      </c>
      <c r="Y47">
        <v>5.89</v>
      </c>
      <c r="Z47">
        <v>5.96</v>
      </c>
      <c r="AA47">
        <v>6.12</v>
      </c>
      <c r="AB47">
        <v>6.32</v>
      </c>
      <c r="AC47">
        <v>6.51</v>
      </c>
      <c r="AD47">
        <v>6.68</v>
      </c>
      <c r="AE47">
        <v>6.8</v>
      </c>
      <c r="AF47">
        <v>6.87</v>
      </c>
      <c r="AG47">
        <v>6.88</v>
      </c>
      <c r="AH47">
        <v>6.84</v>
      </c>
      <c r="AI47">
        <v>6.76</v>
      </c>
      <c r="AJ47">
        <v>6.66</v>
      </c>
      <c r="AK47">
        <v>6.54</v>
      </c>
      <c r="AL47">
        <v>6.4</v>
      </c>
      <c r="AM47">
        <v>6.24</v>
      </c>
      <c r="AN47">
        <v>6.09</v>
      </c>
      <c r="AO47">
        <v>5.93</v>
      </c>
      <c r="AP47">
        <v>5.78</v>
      </c>
      <c r="AQ47">
        <v>5.66</v>
      </c>
      <c r="AR47">
        <v>5.58</v>
      </c>
      <c r="AS47">
        <v>5.57</v>
      </c>
      <c r="AT47">
        <v>5.64</v>
      </c>
      <c r="AU47">
        <v>5.79</v>
      </c>
      <c r="AV47">
        <v>6.03</v>
      </c>
      <c r="AW47">
        <v>6.34</v>
      </c>
      <c r="AX47">
        <v>6.7</v>
      </c>
      <c r="AY47">
        <v>7.1</v>
      </c>
      <c r="AZ47">
        <v>7.47</v>
      </c>
      <c r="BA47">
        <v>7.79</v>
      </c>
      <c r="BB47">
        <v>8.01</v>
      </c>
      <c r="BC47">
        <v>8.11</v>
      </c>
      <c r="BD47">
        <v>8.09</v>
      </c>
      <c r="BE47">
        <v>7.91</v>
      </c>
      <c r="BF47">
        <v>7.63</v>
      </c>
      <c r="BG47">
        <v>7.27</v>
      </c>
      <c r="BH47">
        <v>6.86</v>
      </c>
      <c r="BI47">
        <v>6.5</v>
      </c>
      <c r="BJ47">
        <v>6.22</v>
      </c>
      <c r="BK47">
        <v>6.09</v>
      </c>
      <c r="BL47">
        <v>6.16</v>
      </c>
      <c r="BM47">
        <v>6.43</v>
      </c>
      <c r="BN47">
        <v>6.9</v>
      </c>
      <c r="BO47">
        <v>7.54</v>
      </c>
      <c r="BP47">
        <v>8.26</v>
      </c>
      <c r="BQ47">
        <v>9.01</v>
      </c>
      <c r="BR47">
        <v>9.7100000000000009</v>
      </c>
      <c r="BS47">
        <v>10.3</v>
      </c>
      <c r="BT47">
        <v>10.8</v>
      </c>
      <c r="BU47">
        <v>11.2</v>
      </c>
      <c r="BV47">
        <v>11.4</v>
      </c>
      <c r="BW47">
        <v>11.5</v>
      </c>
      <c r="BX47">
        <v>11.6</v>
      </c>
      <c r="BY47">
        <v>11.5</v>
      </c>
      <c r="BZ47">
        <v>11.4</v>
      </c>
      <c r="CA47">
        <v>11.1</v>
      </c>
      <c r="CB47">
        <v>10.8</v>
      </c>
      <c r="CC47">
        <v>10.4</v>
      </c>
      <c r="CD47">
        <v>9.7799999999999994</v>
      </c>
      <c r="CE47">
        <v>9.06</v>
      </c>
      <c r="CF47">
        <v>8.2100000000000009</v>
      </c>
      <c r="CG47">
        <v>7.25</v>
      </c>
      <c r="CH47">
        <v>6.19</v>
      </c>
      <c r="CI47">
        <v>5.07</v>
      </c>
      <c r="CJ47">
        <v>3.94</v>
      </c>
      <c r="CK47">
        <v>2.89</v>
      </c>
      <c r="CL47">
        <v>1.99</v>
      </c>
      <c r="CM47">
        <v>1.34</v>
      </c>
      <c r="CN47">
        <v>0.98</v>
      </c>
      <c r="CO47">
        <v>0.93</v>
      </c>
      <c r="CP47">
        <v>1.2</v>
      </c>
      <c r="CQ47">
        <v>1.8</v>
      </c>
      <c r="CR47">
        <v>2.62</v>
      </c>
      <c r="CS47">
        <v>3.56</v>
      </c>
      <c r="CT47">
        <v>4.5199999999999996</v>
      </c>
      <c r="CU47">
        <v>5.38</v>
      </c>
      <c r="CV47">
        <v>6.04</v>
      </c>
      <c r="CW47">
        <v>6.44</v>
      </c>
      <c r="CX47">
        <v>6.55</v>
      </c>
      <c r="CY47">
        <v>6.34</v>
      </c>
      <c r="CZ47">
        <v>5.89</v>
      </c>
      <c r="DA47">
        <v>5.27</v>
      </c>
      <c r="DB47">
        <v>4.5599999999999996</v>
      </c>
    </row>
    <row r="48" spans="1:106" x14ac:dyDescent="0.25">
      <c r="A48" s="59"/>
      <c r="B48" s="59"/>
      <c r="C48" t="s">
        <v>62</v>
      </c>
      <c r="D48">
        <v>25</v>
      </c>
      <c r="E48" t="s">
        <v>2</v>
      </c>
      <c r="F48">
        <v>10.7</v>
      </c>
      <c r="G48">
        <v>10</v>
      </c>
      <c r="H48">
        <v>8.98</v>
      </c>
      <c r="I48">
        <v>7.57</v>
      </c>
      <c r="J48">
        <v>5.8</v>
      </c>
      <c r="K48">
        <v>3.81</v>
      </c>
      <c r="L48">
        <v>1.84</v>
      </c>
      <c r="M48">
        <v>-1.0999999999999999E-2</v>
      </c>
      <c r="N48">
        <v>-1.58</v>
      </c>
      <c r="O48">
        <v>-2.72</v>
      </c>
      <c r="P48">
        <v>-3.42</v>
      </c>
      <c r="Q48">
        <v>-3.64</v>
      </c>
      <c r="R48">
        <v>-3.45</v>
      </c>
      <c r="S48">
        <v>-2.89</v>
      </c>
      <c r="T48">
        <v>-2.1</v>
      </c>
      <c r="U48">
        <v>-1.19</v>
      </c>
      <c r="V48">
        <v>-0.26</v>
      </c>
      <c r="W48">
        <v>0.6</v>
      </c>
      <c r="X48">
        <v>1.33</v>
      </c>
      <c r="Y48">
        <v>1.95</v>
      </c>
      <c r="Z48">
        <v>2.4500000000000002</v>
      </c>
      <c r="AA48">
        <v>2.84</v>
      </c>
      <c r="AB48">
        <v>3.2</v>
      </c>
      <c r="AC48">
        <v>3.51</v>
      </c>
      <c r="AD48">
        <v>3.82</v>
      </c>
      <c r="AE48">
        <v>4.12</v>
      </c>
      <c r="AF48">
        <v>4.42</v>
      </c>
      <c r="AG48">
        <v>4.7</v>
      </c>
      <c r="AH48">
        <v>4.9400000000000004</v>
      </c>
      <c r="AI48">
        <v>5.16</v>
      </c>
      <c r="AJ48">
        <v>5.33</v>
      </c>
      <c r="AK48">
        <v>5.47</v>
      </c>
      <c r="AL48">
        <v>5.58</v>
      </c>
      <c r="AM48">
        <v>5.67</v>
      </c>
      <c r="AN48">
        <v>5.77</v>
      </c>
      <c r="AO48">
        <v>5.89</v>
      </c>
      <c r="AP48">
        <v>6.05</v>
      </c>
      <c r="AQ48">
        <v>6.24</v>
      </c>
      <c r="AR48">
        <v>6.48</v>
      </c>
      <c r="AS48">
        <v>6.76</v>
      </c>
      <c r="AT48">
        <v>7.08</v>
      </c>
      <c r="AU48">
        <v>7.42</v>
      </c>
      <c r="AV48">
        <v>7.78</v>
      </c>
      <c r="AW48">
        <v>8.15</v>
      </c>
      <c r="AX48">
        <v>8.5399999999999991</v>
      </c>
      <c r="AY48">
        <v>8.9499999999999993</v>
      </c>
      <c r="AZ48">
        <v>9.4</v>
      </c>
      <c r="BA48">
        <v>9.91</v>
      </c>
      <c r="BB48">
        <v>10.5</v>
      </c>
      <c r="BC48">
        <v>11.1</v>
      </c>
      <c r="BD48">
        <v>11.8</v>
      </c>
      <c r="BE48">
        <v>12.5</v>
      </c>
      <c r="BF48">
        <v>13.1</v>
      </c>
      <c r="BG48">
        <v>13.7</v>
      </c>
      <c r="BH48">
        <v>14</v>
      </c>
      <c r="BI48">
        <v>14.1</v>
      </c>
      <c r="BJ48">
        <v>14</v>
      </c>
      <c r="BK48">
        <v>13.5</v>
      </c>
      <c r="BL48">
        <v>12.7</v>
      </c>
      <c r="BM48">
        <v>11.7</v>
      </c>
      <c r="BN48">
        <v>10.5</v>
      </c>
      <c r="BO48">
        <v>9.23</v>
      </c>
      <c r="BP48">
        <v>7.89</v>
      </c>
      <c r="BQ48">
        <v>6.59</v>
      </c>
      <c r="BR48">
        <v>5.39</v>
      </c>
      <c r="BS48">
        <v>4.34</v>
      </c>
      <c r="BT48">
        <v>3.46</v>
      </c>
      <c r="BU48">
        <v>2.77</v>
      </c>
      <c r="BV48">
        <v>2.2599999999999998</v>
      </c>
      <c r="BW48">
        <v>1.87</v>
      </c>
      <c r="BX48">
        <v>1.57</v>
      </c>
      <c r="BY48">
        <v>1.32</v>
      </c>
      <c r="BZ48">
        <v>1.07</v>
      </c>
      <c r="CA48">
        <v>0.81</v>
      </c>
      <c r="CB48">
        <v>0.52</v>
      </c>
      <c r="CC48">
        <v>0.2</v>
      </c>
      <c r="CD48">
        <v>-0.12</v>
      </c>
      <c r="CE48">
        <v>-0.44</v>
      </c>
      <c r="CF48">
        <v>-0.73</v>
      </c>
      <c r="CG48">
        <v>-0.95</v>
      </c>
      <c r="CH48">
        <v>-1.07</v>
      </c>
      <c r="CI48">
        <v>-1.06</v>
      </c>
      <c r="CJ48">
        <v>-0.89</v>
      </c>
      <c r="CK48">
        <v>-0.57999999999999996</v>
      </c>
      <c r="CL48">
        <v>-0.1</v>
      </c>
      <c r="CM48">
        <v>0.51</v>
      </c>
      <c r="CN48">
        <v>1.24</v>
      </c>
      <c r="CO48">
        <v>2.06</v>
      </c>
      <c r="CP48">
        <v>2.93</v>
      </c>
      <c r="CQ48">
        <v>3.79</v>
      </c>
      <c r="CR48">
        <v>4.63</v>
      </c>
      <c r="CS48">
        <v>5.41</v>
      </c>
      <c r="CT48">
        <v>6.13</v>
      </c>
      <c r="CU48">
        <v>6.76</v>
      </c>
      <c r="CV48">
        <v>7.32</v>
      </c>
      <c r="CW48">
        <v>7.83</v>
      </c>
      <c r="CX48">
        <v>8.27</v>
      </c>
      <c r="CY48">
        <v>8.65</v>
      </c>
      <c r="CZ48">
        <v>8.93</v>
      </c>
      <c r="DA48">
        <v>9.11</v>
      </c>
      <c r="DB48">
        <v>9.14</v>
      </c>
    </row>
    <row r="49" spans="1:106" x14ac:dyDescent="0.25">
      <c r="A49" s="59"/>
      <c r="B49" s="59"/>
      <c r="C49" t="s">
        <v>63</v>
      </c>
      <c r="D49">
        <v>25</v>
      </c>
      <c r="E49" t="s">
        <v>2</v>
      </c>
      <c r="F49">
        <v>-4.88</v>
      </c>
      <c r="G49">
        <v>-4.76</v>
      </c>
      <c r="H49">
        <v>-4.63</v>
      </c>
      <c r="I49">
        <v>-4.49</v>
      </c>
      <c r="J49">
        <v>-4.34</v>
      </c>
      <c r="K49">
        <v>-4.18</v>
      </c>
      <c r="L49">
        <v>-4.04</v>
      </c>
      <c r="M49">
        <v>-3.94</v>
      </c>
      <c r="N49">
        <v>-3.88</v>
      </c>
      <c r="O49">
        <v>-3.88</v>
      </c>
      <c r="P49">
        <v>-3.94</v>
      </c>
      <c r="Q49">
        <v>-4.04</v>
      </c>
      <c r="R49">
        <v>-4.1500000000000004</v>
      </c>
      <c r="S49">
        <v>-4.2699999999999996</v>
      </c>
      <c r="T49">
        <v>-4.37</v>
      </c>
      <c r="U49">
        <v>-4.45</v>
      </c>
      <c r="V49">
        <v>-4.51</v>
      </c>
      <c r="W49">
        <v>-4.55</v>
      </c>
      <c r="X49">
        <v>-4.58</v>
      </c>
      <c r="Y49">
        <v>-4.6100000000000003</v>
      </c>
      <c r="Z49">
        <v>-4.63</v>
      </c>
      <c r="AA49">
        <v>-4.67</v>
      </c>
      <c r="AB49">
        <v>-4.72</v>
      </c>
      <c r="AC49">
        <v>-4.79</v>
      </c>
      <c r="AD49">
        <v>-4.88</v>
      </c>
      <c r="AE49">
        <v>-5</v>
      </c>
      <c r="AF49">
        <v>-5.14</v>
      </c>
      <c r="AG49">
        <v>-5.31</v>
      </c>
      <c r="AH49">
        <v>-5.51</v>
      </c>
      <c r="AI49">
        <v>-5.73</v>
      </c>
      <c r="AJ49">
        <v>-5.97</v>
      </c>
      <c r="AK49">
        <v>-6.23</v>
      </c>
      <c r="AL49">
        <v>-6.49</v>
      </c>
      <c r="AM49">
        <v>-6.77</v>
      </c>
      <c r="AN49">
        <v>-7.03</v>
      </c>
      <c r="AO49">
        <v>-7.28</v>
      </c>
      <c r="AP49">
        <v>-7.51</v>
      </c>
      <c r="AQ49">
        <v>-7.71</v>
      </c>
      <c r="AR49">
        <v>-7.86</v>
      </c>
      <c r="AS49">
        <v>-7.97</v>
      </c>
      <c r="AT49">
        <v>-8.01</v>
      </c>
      <c r="AU49">
        <v>-7.99</v>
      </c>
      <c r="AV49">
        <v>-7.91</v>
      </c>
      <c r="AW49">
        <v>-7.77</v>
      </c>
      <c r="AX49">
        <v>-7.57</v>
      </c>
      <c r="AY49">
        <v>-7.31</v>
      </c>
      <c r="AZ49">
        <v>-7</v>
      </c>
      <c r="BA49">
        <v>-6.66</v>
      </c>
      <c r="BB49">
        <v>-6.28</v>
      </c>
      <c r="BC49">
        <v>-5.88</v>
      </c>
      <c r="BD49">
        <v>-5.46</v>
      </c>
      <c r="BE49">
        <v>-5.04</v>
      </c>
      <c r="BF49">
        <v>-4.6500000000000004</v>
      </c>
      <c r="BG49">
        <v>-4.29</v>
      </c>
      <c r="BH49">
        <v>-4.01</v>
      </c>
      <c r="BI49">
        <v>-3.84</v>
      </c>
      <c r="BJ49">
        <v>-3.78</v>
      </c>
      <c r="BK49">
        <v>-3.87</v>
      </c>
      <c r="BL49">
        <v>-4.12</v>
      </c>
      <c r="BM49">
        <v>-4.51</v>
      </c>
      <c r="BN49">
        <v>-5.03</v>
      </c>
      <c r="BO49">
        <v>-5.67</v>
      </c>
      <c r="BP49">
        <v>-6.39</v>
      </c>
      <c r="BQ49">
        <v>-7.16</v>
      </c>
      <c r="BR49">
        <v>-7.93</v>
      </c>
      <c r="BS49">
        <v>-8.67</v>
      </c>
      <c r="BT49">
        <v>-9.34</v>
      </c>
      <c r="BU49">
        <v>-9.92</v>
      </c>
      <c r="BV49">
        <v>-10.4</v>
      </c>
      <c r="BW49">
        <v>-10.7</v>
      </c>
      <c r="BX49">
        <v>-11</v>
      </c>
      <c r="BY49">
        <v>-11.2</v>
      </c>
      <c r="BZ49">
        <v>-11.4</v>
      </c>
      <c r="CA49">
        <v>-11.5</v>
      </c>
      <c r="CB49">
        <v>-11.6</v>
      </c>
      <c r="CC49">
        <v>-11.8</v>
      </c>
      <c r="CD49">
        <v>-12</v>
      </c>
      <c r="CE49">
        <v>-12.2</v>
      </c>
      <c r="CF49">
        <v>-12.4</v>
      </c>
      <c r="CG49">
        <v>-12.6</v>
      </c>
      <c r="CH49">
        <v>-12.9</v>
      </c>
      <c r="CI49">
        <v>-13</v>
      </c>
      <c r="CJ49">
        <v>-13.2</v>
      </c>
      <c r="CK49">
        <v>-13.2</v>
      </c>
      <c r="CL49">
        <v>-13.1</v>
      </c>
      <c r="CM49">
        <v>-12.9</v>
      </c>
      <c r="CN49">
        <v>-12.5</v>
      </c>
      <c r="CO49">
        <v>-12</v>
      </c>
      <c r="CP49">
        <v>-11.4</v>
      </c>
      <c r="CQ49">
        <v>-10.6</v>
      </c>
      <c r="CR49">
        <v>-9.6999999999999993</v>
      </c>
      <c r="CS49">
        <v>-8.7899999999999991</v>
      </c>
      <c r="CT49">
        <v>-7.87</v>
      </c>
      <c r="CU49">
        <v>-7</v>
      </c>
      <c r="CV49">
        <v>-6.21</v>
      </c>
      <c r="CW49">
        <v>-5.53</v>
      </c>
      <c r="CX49">
        <v>-4.97</v>
      </c>
      <c r="CY49">
        <v>-4.54</v>
      </c>
      <c r="CZ49">
        <v>-4.21</v>
      </c>
      <c r="DA49">
        <v>-3.99</v>
      </c>
      <c r="DB49">
        <v>-3.84</v>
      </c>
    </row>
    <row r="50" spans="1:106" x14ac:dyDescent="0.25">
      <c r="A50" s="18"/>
      <c r="B50" s="18"/>
    </row>
    <row r="51" spans="1:106" x14ac:dyDescent="0.25">
      <c r="A51" s="59">
        <v>2</v>
      </c>
      <c r="B51" s="59" t="s">
        <v>67</v>
      </c>
      <c r="C51" t="s">
        <v>52</v>
      </c>
      <c r="D51">
        <v>16</v>
      </c>
      <c r="E51" t="s">
        <v>2</v>
      </c>
      <c r="F51">
        <v>11.8</v>
      </c>
      <c r="G51">
        <v>11.6</v>
      </c>
      <c r="H51">
        <v>11.5</v>
      </c>
      <c r="I51">
        <v>11.4</v>
      </c>
      <c r="J51">
        <v>11.3</v>
      </c>
      <c r="K51">
        <v>11.2</v>
      </c>
      <c r="L51">
        <v>11.1</v>
      </c>
      <c r="M51">
        <v>11</v>
      </c>
      <c r="N51">
        <v>10.9</v>
      </c>
      <c r="O51">
        <v>10.9</v>
      </c>
      <c r="P51">
        <v>10.8</v>
      </c>
      <c r="Q51">
        <v>10.8</v>
      </c>
      <c r="R51">
        <v>10.8</v>
      </c>
      <c r="S51">
        <v>10.9</v>
      </c>
      <c r="T51">
        <v>11</v>
      </c>
      <c r="U51">
        <v>11</v>
      </c>
      <c r="V51">
        <v>11.1</v>
      </c>
      <c r="W51">
        <v>11.3</v>
      </c>
      <c r="X51">
        <v>11.4</v>
      </c>
      <c r="Y51">
        <v>11.5</v>
      </c>
      <c r="Z51">
        <v>11.6</v>
      </c>
      <c r="AA51">
        <v>11.7</v>
      </c>
      <c r="AB51">
        <v>11.9</v>
      </c>
      <c r="AC51">
        <v>12</v>
      </c>
      <c r="AD51">
        <v>12.1</v>
      </c>
      <c r="AE51">
        <v>12.2</v>
      </c>
      <c r="AF51">
        <v>12.2</v>
      </c>
      <c r="AG51">
        <v>12.3</v>
      </c>
      <c r="AH51">
        <v>12.3</v>
      </c>
      <c r="AI51">
        <v>12.4</v>
      </c>
      <c r="AJ51">
        <v>12.4</v>
      </c>
      <c r="AK51">
        <v>12.4</v>
      </c>
      <c r="AL51">
        <v>12.4</v>
      </c>
      <c r="AM51">
        <v>12.5</v>
      </c>
      <c r="AN51">
        <v>12.5</v>
      </c>
      <c r="AO51">
        <v>12.5</v>
      </c>
      <c r="AP51">
        <v>12.5</v>
      </c>
      <c r="AQ51">
        <v>12.5</v>
      </c>
      <c r="AR51">
        <v>12.5</v>
      </c>
      <c r="AS51">
        <v>12.5</v>
      </c>
      <c r="AT51">
        <v>12.5</v>
      </c>
      <c r="AU51">
        <v>12.5</v>
      </c>
      <c r="AV51">
        <v>12.5</v>
      </c>
      <c r="AW51">
        <v>12.5</v>
      </c>
      <c r="AX51">
        <v>12.4</v>
      </c>
      <c r="AY51">
        <v>12.4</v>
      </c>
      <c r="AZ51">
        <v>12.3</v>
      </c>
      <c r="BA51">
        <v>12.2</v>
      </c>
      <c r="BB51">
        <v>12.1</v>
      </c>
      <c r="BC51">
        <v>12</v>
      </c>
      <c r="BD51">
        <v>11.8</v>
      </c>
      <c r="BE51">
        <v>11.7</v>
      </c>
      <c r="BF51">
        <v>11.5</v>
      </c>
      <c r="BG51">
        <v>11.4</v>
      </c>
      <c r="BH51">
        <v>11.2</v>
      </c>
      <c r="BI51">
        <v>11.1</v>
      </c>
      <c r="BJ51">
        <v>10.9</v>
      </c>
      <c r="BK51">
        <v>10.8</v>
      </c>
      <c r="BL51">
        <v>10.7</v>
      </c>
      <c r="BM51">
        <v>10.6</v>
      </c>
      <c r="BN51">
        <v>10.5</v>
      </c>
      <c r="BO51">
        <v>10.5</v>
      </c>
      <c r="BP51">
        <v>10.5</v>
      </c>
      <c r="BQ51">
        <v>10.5</v>
      </c>
      <c r="BR51">
        <v>10.6</v>
      </c>
      <c r="BS51">
        <v>10.7</v>
      </c>
      <c r="BT51">
        <v>10.8</v>
      </c>
      <c r="BU51">
        <v>10.9</v>
      </c>
      <c r="BV51">
        <v>11</v>
      </c>
      <c r="BW51">
        <v>11.1</v>
      </c>
      <c r="BX51">
        <v>11.3</v>
      </c>
      <c r="BY51">
        <v>11.4</v>
      </c>
      <c r="BZ51">
        <v>11.5</v>
      </c>
      <c r="CA51">
        <v>11.7</v>
      </c>
      <c r="CB51">
        <v>11.8</v>
      </c>
      <c r="CC51">
        <v>11.9</v>
      </c>
      <c r="CD51">
        <v>12</v>
      </c>
      <c r="CE51">
        <v>12.1</v>
      </c>
      <c r="CF51">
        <v>12.2</v>
      </c>
      <c r="CG51">
        <v>12.2</v>
      </c>
      <c r="CH51">
        <v>12.3</v>
      </c>
      <c r="CI51">
        <v>12.4</v>
      </c>
      <c r="CJ51">
        <v>12.4</v>
      </c>
      <c r="CK51">
        <v>12.5</v>
      </c>
      <c r="CL51">
        <v>12.5</v>
      </c>
      <c r="CM51">
        <v>12.5</v>
      </c>
      <c r="CN51">
        <v>12.6</v>
      </c>
      <c r="CO51">
        <v>12.6</v>
      </c>
      <c r="CP51">
        <v>12.6</v>
      </c>
      <c r="CQ51">
        <v>12.6</v>
      </c>
      <c r="CR51">
        <v>12.6</v>
      </c>
      <c r="CS51">
        <v>12.6</v>
      </c>
      <c r="CT51">
        <v>12.6</v>
      </c>
      <c r="CU51">
        <v>12.6</v>
      </c>
      <c r="CV51">
        <v>12.5</v>
      </c>
      <c r="CW51">
        <v>12.5</v>
      </c>
      <c r="CX51">
        <v>12.4</v>
      </c>
      <c r="CY51">
        <v>12.3</v>
      </c>
      <c r="CZ51">
        <v>12.2</v>
      </c>
      <c r="DA51">
        <v>12.1</v>
      </c>
      <c r="DB51">
        <v>12</v>
      </c>
    </row>
    <row r="52" spans="1:106" x14ac:dyDescent="0.25">
      <c r="A52" s="59"/>
      <c r="B52" s="59"/>
      <c r="C52" t="s">
        <v>53</v>
      </c>
      <c r="D52">
        <v>16</v>
      </c>
      <c r="E52" t="s">
        <v>2</v>
      </c>
      <c r="F52">
        <v>34</v>
      </c>
      <c r="G52">
        <v>33.9</v>
      </c>
      <c r="H52">
        <v>33.9</v>
      </c>
      <c r="I52">
        <v>33.799999999999997</v>
      </c>
      <c r="J52">
        <v>33.700000000000003</v>
      </c>
      <c r="K52">
        <v>33.4</v>
      </c>
      <c r="L52">
        <v>33.1</v>
      </c>
      <c r="M52">
        <v>32.700000000000003</v>
      </c>
      <c r="N52">
        <v>32.1</v>
      </c>
      <c r="O52">
        <v>31.4</v>
      </c>
      <c r="P52">
        <v>30.6</v>
      </c>
      <c r="Q52">
        <v>29.6</v>
      </c>
      <c r="R52">
        <v>28.6</v>
      </c>
      <c r="S52">
        <v>27.4</v>
      </c>
      <c r="T52">
        <v>26.2</v>
      </c>
      <c r="U52">
        <v>25</v>
      </c>
      <c r="V52">
        <v>23.6</v>
      </c>
      <c r="W52">
        <v>22.3</v>
      </c>
      <c r="X52">
        <v>20.9</v>
      </c>
      <c r="Y52">
        <v>19.600000000000001</v>
      </c>
      <c r="Z52">
        <v>18.2</v>
      </c>
      <c r="AA52">
        <v>16.899999999999999</v>
      </c>
      <c r="AB52">
        <v>15.5</v>
      </c>
      <c r="AC52">
        <v>14.2</v>
      </c>
      <c r="AD52">
        <v>12.9</v>
      </c>
      <c r="AE52">
        <v>11.7</v>
      </c>
      <c r="AF52">
        <v>10.4</v>
      </c>
      <c r="AG52">
        <v>9.18</v>
      </c>
      <c r="AH52">
        <v>7.94</v>
      </c>
      <c r="AI52">
        <v>6.71</v>
      </c>
      <c r="AJ52">
        <v>5.5</v>
      </c>
      <c r="AK52">
        <v>4.29</v>
      </c>
      <c r="AL52">
        <v>3.09</v>
      </c>
      <c r="AM52">
        <v>1.91</v>
      </c>
      <c r="AN52">
        <v>0.75</v>
      </c>
      <c r="AO52">
        <v>-0.39</v>
      </c>
      <c r="AP52">
        <v>-1.51</v>
      </c>
      <c r="AQ52">
        <v>-2.61</v>
      </c>
      <c r="AR52">
        <v>-3.67</v>
      </c>
      <c r="AS52">
        <v>-4.7</v>
      </c>
      <c r="AT52">
        <v>-5.69</v>
      </c>
      <c r="AU52">
        <v>-6.64</v>
      </c>
      <c r="AV52">
        <v>-7.53</v>
      </c>
      <c r="AW52">
        <v>-8.36</v>
      </c>
      <c r="AX52">
        <v>-9.1199999999999992</v>
      </c>
      <c r="AY52">
        <v>-9.8000000000000007</v>
      </c>
      <c r="AZ52">
        <v>-10.4</v>
      </c>
      <c r="BA52">
        <v>-10.8</v>
      </c>
      <c r="BB52">
        <v>-11.2</v>
      </c>
      <c r="BC52">
        <v>-11.4</v>
      </c>
      <c r="BD52">
        <v>-11.4</v>
      </c>
      <c r="BE52">
        <v>-11.3</v>
      </c>
      <c r="BF52">
        <v>-10.9</v>
      </c>
      <c r="BG52">
        <v>-10.4</v>
      </c>
      <c r="BH52">
        <v>-9.65</v>
      </c>
      <c r="BI52">
        <v>-8.6999999999999993</v>
      </c>
      <c r="BJ52">
        <v>-7.54</v>
      </c>
      <c r="BK52">
        <v>-6.19</v>
      </c>
      <c r="BL52">
        <v>-4.63</v>
      </c>
      <c r="BM52">
        <v>-2.89</v>
      </c>
      <c r="BN52">
        <v>-0.98</v>
      </c>
      <c r="BO52">
        <v>1.08</v>
      </c>
      <c r="BP52">
        <v>3.26</v>
      </c>
      <c r="BQ52">
        <v>5.54</v>
      </c>
      <c r="BR52">
        <v>7.86</v>
      </c>
      <c r="BS52">
        <v>10.199999999999999</v>
      </c>
      <c r="BT52">
        <v>12.5</v>
      </c>
      <c r="BU52">
        <v>14.8</v>
      </c>
      <c r="BV52">
        <v>17.100000000000001</v>
      </c>
      <c r="BW52">
        <v>19.2</v>
      </c>
      <c r="BX52">
        <v>21.2</v>
      </c>
      <c r="BY52">
        <v>23.1</v>
      </c>
      <c r="BZ52">
        <v>24.9</v>
      </c>
      <c r="CA52">
        <v>26.6</v>
      </c>
      <c r="CB52">
        <v>28.1</v>
      </c>
      <c r="CC52">
        <v>29.5</v>
      </c>
      <c r="CD52">
        <v>30.8</v>
      </c>
      <c r="CE52">
        <v>32</v>
      </c>
      <c r="CF52">
        <v>33</v>
      </c>
      <c r="CG52">
        <v>33.9</v>
      </c>
      <c r="CH52">
        <v>34.700000000000003</v>
      </c>
      <c r="CI52">
        <v>35.299999999999997</v>
      </c>
      <c r="CJ52">
        <v>35.799999999999997</v>
      </c>
      <c r="CK52">
        <v>36.200000000000003</v>
      </c>
      <c r="CL52">
        <v>36.5</v>
      </c>
      <c r="CM52">
        <v>36.700000000000003</v>
      </c>
      <c r="CN52">
        <v>36.700000000000003</v>
      </c>
      <c r="CO52">
        <v>36.700000000000003</v>
      </c>
      <c r="CP52">
        <v>36.6</v>
      </c>
      <c r="CQ52">
        <v>36.4</v>
      </c>
      <c r="CR52">
        <v>36.200000000000003</v>
      </c>
      <c r="CS52">
        <v>35.9</v>
      </c>
      <c r="CT52">
        <v>35.5</v>
      </c>
      <c r="CU52">
        <v>35.200000000000003</v>
      </c>
      <c r="CV52">
        <v>34.9</v>
      </c>
      <c r="CW52">
        <v>34.6</v>
      </c>
      <c r="CX52">
        <v>34.299999999999997</v>
      </c>
      <c r="CY52">
        <v>34.1</v>
      </c>
      <c r="CZ52">
        <v>34</v>
      </c>
      <c r="DA52">
        <v>33.799999999999997</v>
      </c>
      <c r="DB52">
        <v>33.700000000000003</v>
      </c>
    </row>
    <row r="53" spans="1:106" x14ac:dyDescent="0.25">
      <c r="A53" s="59"/>
      <c r="B53" s="59"/>
      <c r="C53" t="s">
        <v>54</v>
      </c>
      <c r="D53">
        <v>16</v>
      </c>
      <c r="E53" t="s">
        <v>2</v>
      </c>
      <c r="F53">
        <v>2.92</v>
      </c>
      <c r="G53">
        <v>4.5</v>
      </c>
      <c r="H53">
        <v>6.27</v>
      </c>
      <c r="I53">
        <v>8.16</v>
      </c>
      <c r="J53">
        <v>10.1</v>
      </c>
      <c r="K53">
        <v>11.9</v>
      </c>
      <c r="L53">
        <v>13.6</v>
      </c>
      <c r="M53">
        <v>15.1</v>
      </c>
      <c r="N53">
        <v>16.3</v>
      </c>
      <c r="O53">
        <v>17.2</v>
      </c>
      <c r="P53">
        <v>17.7</v>
      </c>
      <c r="Q53">
        <v>18</v>
      </c>
      <c r="R53">
        <v>18</v>
      </c>
      <c r="S53">
        <v>17.7</v>
      </c>
      <c r="T53">
        <v>17.2</v>
      </c>
      <c r="U53">
        <v>16.5</v>
      </c>
      <c r="V53">
        <v>15.7</v>
      </c>
      <c r="W53">
        <v>14.8</v>
      </c>
      <c r="X53">
        <v>13.9</v>
      </c>
      <c r="Y53">
        <v>12.9</v>
      </c>
      <c r="Z53">
        <v>11.9</v>
      </c>
      <c r="AA53">
        <v>11</v>
      </c>
      <c r="AB53">
        <v>10.1</v>
      </c>
      <c r="AC53">
        <v>9.17</v>
      </c>
      <c r="AD53">
        <v>8.33</v>
      </c>
      <c r="AE53">
        <v>7.53</v>
      </c>
      <c r="AF53">
        <v>6.77</v>
      </c>
      <c r="AG53">
        <v>6.04</v>
      </c>
      <c r="AH53">
        <v>5.35</v>
      </c>
      <c r="AI53">
        <v>4.68</v>
      </c>
      <c r="AJ53">
        <v>4.05</v>
      </c>
      <c r="AK53">
        <v>3.46</v>
      </c>
      <c r="AL53">
        <v>2.9</v>
      </c>
      <c r="AM53">
        <v>2.39</v>
      </c>
      <c r="AN53">
        <v>1.93</v>
      </c>
      <c r="AO53">
        <v>1.53</v>
      </c>
      <c r="AP53">
        <v>1.2</v>
      </c>
      <c r="AQ53">
        <v>0.95</v>
      </c>
      <c r="AR53">
        <v>0.78</v>
      </c>
      <c r="AS53">
        <v>0.72</v>
      </c>
      <c r="AT53">
        <v>0.76</v>
      </c>
      <c r="AU53">
        <v>0.93</v>
      </c>
      <c r="AV53">
        <v>1.23</v>
      </c>
      <c r="AW53">
        <v>1.67</v>
      </c>
      <c r="AX53">
        <v>2.2799999999999998</v>
      </c>
      <c r="AY53">
        <v>3.04</v>
      </c>
      <c r="AZ53">
        <v>3.99</v>
      </c>
      <c r="BA53">
        <v>5.13</v>
      </c>
      <c r="BB53">
        <v>6.48</v>
      </c>
      <c r="BC53">
        <v>8.0299999999999994</v>
      </c>
      <c r="BD53">
        <v>9.7899999999999991</v>
      </c>
      <c r="BE53">
        <v>11.8</v>
      </c>
      <c r="BF53">
        <v>14</v>
      </c>
      <c r="BG53">
        <v>16.5</v>
      </c>
      <c r="BH53">
        <v>19.100000000000001</v>
      </c>
      <c r="BI53">
        <v>22</v>
      </c>
      <c r="BJ53">
        <v>25.1</v>
      </c>
      <c r="BK53">
        <v>28.4</v>
      </c>
      <c r="BL53">
        <v>31.9</v>
      </c>
      <c r="BM53">
        <v>35.4</v>
      </c>
      <c r="BN53">
        <v>39</v>
      </c>
      <c r="BO53">
        <v>42.6</v>
      </c>
      <c r="BP53">
        <v>46.1</v>
      </c>
      <c r="BQ53">
        <v>49.3</v>
      </c>
      <c r="BR53">
        <v>52.3</v>
      </c>
      <c r="BS53">
        <v>54.9</v>
      </c>
      <c r="BT53">
        <v>57.1</v>
      </c>
      <c r="BU53">
        <v>58.9</v>
      </c>
      <c r="BV53">
        <v>60.2</v>
      </c>
      <c r="BW53">
        <v>61.1</v>
      </c>
      <c r="BX53">
        <v>61.5</v>
      </c>
      <c r="BY53">
        <v>61.5</v>
      </c>
      <c r="BZ53">
        <v>61.1</v>
      </c>
      <c r="CA53">
        <v>60.3</v>
      </c>
      <c r="CB53">
        <v>59.2</v>
      </c>
      <c r="CC53">
        <v>57.7</v>
      </c>
      <c r="CD53">
        <v>55.9</v>
      </c>
      <c r="CE53">
        <v>53.8</v>
      </c>
      <c r="CF53">
        <v>51.5</v>
      </c>
      <c r="CG53">
        <v>48.8</v>
      </c>
      <c r="CH53">
        <v>46</v>
      </c>
      <c r="CI53">
        <v>42.8</v>
      </c>
      <c r="CJ53">
        <v>39.5</v>
      </c>
      <c r="CK53">
        <v>36</v>
      </c>
      <c r="CL53">
        <v>32.299999999999997</v>
      </c>
      <c r="CM53">
        <v>28.6</v>
      </c>
      <c r="CN53">
        <v>24.8</v>
      </c>
      <c r="CO53">
        <v>21</v>
      </c>
      <c r="CP53">
        <v>17.3</v>
      </c>
      <c r="CQ53">
        <v>13.7</v>
      </c>
      <c r="CR53">
        <v>10.4</v>
      </c>
      <c r="CS53">
        <v>7.39</v>
      </c>
      <c r="CT53">
        <v>4.74</v>
      </c>
      <c r="CU53">
        <v>2.57</v>
      </c>
      <c r="CV53">
        <v>0.91</v>
      </c>
      <c r="CW53">
        <v>-0.2</v>
      </c>
      <c r="CX53">
        <v>-0.77</v>
      </c>
      <c r="CY53">
        <v>-0.78</v>
      </c>
      <c r="CZ53">
        <v>-0.3</v>
      </c>
      <c r="DA53">
        <v>0.63</v>
      </c>
      <c r="DB53">
        <v>1.93</v>
      </c>
    </row>
    <row r="54" spans="1:106" x14ac:dyDescent="0.25">
      <c r="A54" s="59"/>
      <c r="B54" s="59"/>
      <c r="C54" t="s">
        <v>55</v>
      </c>
      <c r="D54">
        <v>16</v>
      </c>
      <c r="E54" t="s">
        <v>2</v>
      </c>
      <c r="F54">
        <v>-4.12</v>
      </c>
      <c r="G54">
        <v>-5.2</v>
      </c>
      <c r="H54">
        <v>-6.05</v>
      </c>
      <c r="I54">
        <v>-6.55</v>
      </c>
      <c r="J54">
        <v>-6.65</v>
      </c>
      <c r="K54">
        <v>-6.31</v>
      </c>
      <c r="L54">
        <v>-5.61</v>
      </c>
      <c r="M54">
        <v>-4.63</v>
      </c>
      <c r="N54">
        <v>-3.46</v>
      </c>
      <c r="O54">
        <v>-2.21</v>
      </c>
      <c r="P54">
        <v>-0.96</v>
      </c>
      <c r="Q54">
        <v>0.22</v>
      </c>
      <c r="R54">
        <v>1.29</v>
      </c>
      <c r="S54">
        <v>2.2200000000000002</v>
      </c>
      <c r="T54">
        <v>3.01</v>
      </c>
      <c r="U54">
        <v>3.68</v>
      </c>
      <c r="V54">
        <v>4.24</v>
      </c>
      <c r="W54">
        <v>4.7</v>
      </c>
      <c r="X54">
        <v>5.0999999999999996</v>
      </c>
      <c r="Y54">
        <v>5.45</v>
      </c>
      <c r="Z54">
        <v>5.77</v>
      </c>
      <c r="AA54">
        <v>6.08</v>
      </c>
      <c r="AB54">
        <v>6.37</v>
      </c>
      <c r="AC54">
        <v>6.66</v>
      </c>
      <c r="AD54">
        <v>6.95</v>
      </c>
      <c r="AE54">
        <v>7.25</v>
      </c>
      <c r="AF54">
        <v>7.55</v>
      </c>
      <c r="AG54">
        <v>7.85</v>
      </c>
      <c r="AH54">
        <v>8.16</v>
      </c>
      <c r="AI54">
        <v>8.4700000000000006</v>
      </c>
      <c r="AJ54">
        <v>8.77</v>
      </c>
      <c r="AK54">
        <v>9.07</v>
      </c>
      <c r="AL54">
        <v>9.36</v>
      </c>
      <c r="AM54">
        <v>9.64</v>
      </c>
      <c r="AN54">
        <v>9.91</v>
      </c>
      <c r="AO54">
        <v>10.199999999999999</v>
      </c>
      <c r="AP54">
        <v>10.4</v>
      </c>
      <c r="AQ54">
        <v>10.6</v>
      </c>
      <c r="AR54">
        <v>10.8</v>
      </c>
      <c r="AS54">
        <v>11</v>
      </c>
      <c r="AT54">
        <v>11.1</v>
      </c>
      <c r="AU54">
        <v>11.2</v>
      </c>
      <c r="AV54">
        <v>11.3</v>
      </c>
      <c r="AW54">
        <v>11.2</v>
      </c>
      <c r="AX54">
        <v>11.1</v>
      </c>
      <c r="AY54">
        <v>10.8</v>
      </c>
      <c r="AZ54">
        <v>10.4</v>
      </c>
      <c r="BA54">
        <v>9.6999999999999993</v>
      </c>
      <c r="BB54">
        <v>8.6999999999999993</v>
      </c>
      <c r="BC54">
        <v>7.35</v>
      </c>
      <c r="BD54">
        <v>5.59</v>
      </c>
      <c r="BE54">
        <v>3.32</v>
      </c>
      <c r="BF54">
        <v>0.6</v>
      </c>
      <c r="BG54">
        <v>-2.5299999999999998</v>
      </c>
      <c r="BH54">
        <v>-5.98</v>
      </c>
      <c r="BI54">
        <v>-9.5500000000000007</v>
      </c>
      <c r="BJ54">
        <v>-13</v>
      </c>
      <c r="BK54">
        <v>-16.100000000000001</v>
      </c>
      <c r="BL54">
        <v>-18.7</v>
      </c>
      <c r="BM54">
        <v>-20.5</v>
      </c>
      <c r="BN54">
        <v>-21.5</v>
      </c>
      <c r="BO54">
        <v>-21.7</v>
      </c>
      <c r="BP54">
        <v>-21.2</v>
      </c>
      <c r="BQ54">
        <v>-20.100000000000001</v>
      </c>
      <c r="BR54">
        <v>-18.600000000000001</v>
      </c>
      <c r="BS54">
        <v>-16.899999999999999</v>
      </c>
      <c r="BT54">
        <v>-15</v>
      </c>
      <c r="BU54">
        <v>-13.2</v>
      </c>
      <c r="BV54">
        <v>-11.4</v>
      </c>
      <c r="BW54">
        <v>-9.68</v>
      </c>
      <c r="BX54">
        <v>-8.16</v>
      </c>
      <c r="BY54">
        <v>-6.83</v>
      </c>
      <c r="BZ54">
        <v>-5.67</v>
      </c>
      <c r="CA54">
        <v>-4.67</v>
      </c>
      <c r="CB54">
        <v>-3.81</v>
      </c>
      <c r="CC54">
        <v>-3.07</v>
      </c>
      <c r="CD54">
        <v>-2.4500000000000002</v>
      </c>
      <c r="CE54">
        <v>-1.93</v>
      </c>
      <c r="CF54">
        <v>-1.52</v>
      </c>
      <c r="CG54">
        <v>-1.2</v>
      </c>
      <c r="CH54">
        <v>-0.99</v>
      </c>
      <c r="CI54">
        <v>-0.88</v>
      </c>
      <c r="CJ54">
        <v>-0.85</v>
      </c>
      <c r="CK54">
        <v>-0.89</v>
      </c>
      <c r="CL54">
        <v>-0.96</v>
      </c>
      <c r="CM54">
        <v>-1.03</v>
      </c>
      <c r="CN54">
        <v>-1.06</v>
      </c>
      <c r="CO54">
        <v>-1.03</v>
      </c>
      <c r="CP54">
        <v>-0.92</v>
      </c>
      <c r="CQ54">
        <v>-0.73</v>
      </c>
      <c r="CR54">
        <v>-0.48</v>
      </c>
      <c r="CS54">
        <v>-0.23</v>
      </c>
      <c r="CT54">
        <v>-1.2999999999999999E-3</v>
      </c>
      <c r="CU54">
        <v>0.13</v>
      </c>
      <c r="CV54">
        <v>0.11</v>
      </c>
      <c r="CW54">
        <v>-0.11</v>
      </c>
      <c r="CX54">
        <v>-0.54</v>
      </c>
      <c r="CY54">
        <v>-1.21</v>
      </c>
      <c r="CZ54">
        <v>-2.08</v>
      </c>
      <c r="DA54">
        <v>-3.09</v>
      </c>
      <c r="DB54">
        <v>-4.18</v>
      </c>
    </row>
    <row r="55" spans="1:106" x14ac:dyDescent="0.25">
      <c r="A55" s="59"/>
      <c r="B55" s="59"/>
      <c r="C55" t="s">
        <v>56</v>
      </c>
      <c r="D55">
        <v>16</v>
      </c>
      <c r="E55" t="s">
        <v>2</v>
      </c>
      <c r="F55">
        <v>1.46</v>
      </c>
      <c r="G55">
        <v>1.74</v>
      </c>
      <c r="H55">
        <v>2.04</v>
      </c>
      <c r="I55">
        <v>2.35</v>
      </c>
      <c r="J55">
        <v>2.67</v>
      </c>
      <c r="K55">
        <v>3</v>
      </c>
      <c r="L55">
        <v>3.32</v>
      </c>
      <c r="M55">
        <v>3.63</v>
      </c>
      <c r="N55">
        <v>3.91</v>
      </c>
      <c r="O55">
        <v>4.17</v>
      </c>
      <c r="P55">
        <v>4.3899999999999997</v>
      </c>
      <c r="Q55">
        <v>4.57</v>
      </c>
      <c r="R55">
        <v>4.7</v>
      </c>
      <c r="S55">
        <v>4.7699999999999996</v>
      </c>
      <c r="T55">
        <v>4.78</v>
      </c>
      <c r="U55">
        <v>4.74</v>
      </c>
      <c r="V55">
        <v>4.63</v>
      </c>
      <c r="W55">
        <v>4.4800000000000004</v>
      </c>
      <c r="X55">
        <v>4.2699999999999996</v>
      </c>
      <c r="Y55">
        <v>4.01</v>
      </c>
      <c r="Z55">
        <v>3.71</v>
      </c>
      <c r="AA55">
        <v>3.38</v>
      </c>
      <c r="AB55">
        <v>3.03</v>
      </c>
      <c r="AC55">
        <v>2.66</v>
      </c>
      <c r="AD55">
        <v>2.2799999999999998</v>
      </c>
      <c r="AE55">
        <v>1.91</v>
      </c>
      <c r="AF55">
        <v>1.55</v>
      </c>
      <c r="AG55">
        <v>1.2</v>
      </c>
      <c r="AH55">
        <v>0.89</v>
      </c>
      <c r="AI55">
        <v>0.6</v>
      </c>
      <c r="AJ55">
        <v>0.34</v>
      </c>
      <c r="AK55">
        <v>0.13</v>
      </c>
      <c r="AL55">
        <v>-5.2999999999999999E-2</v>
      </c>
      <c r="AM55">
        <v>-0.2</v>
      </c>
      <c r="AN55">
        <v>-0.3</v>
      </c>
      <c r="AO55">
        <v>-0.37</v>
      </c>
      <c r="AP55">
        <v>-0.42</v>
      </c>
      <c r="AQ55">
        <v>-0.44</v>
      </c>
      <c r="AR55">
        <v>-0.44</v>
      </c>
      <c r="AS55">
        <v>-0.43</v>
      </c>
      <c r="AT55">
        <v>-0.42</v>
      </c>
      <c r="AU55">
        <v>-0.4</v>
      </c>
      <c r="AV55">
        <v>-0.4</v>
      </c>
      <c r="AW55">
        <v>-0.41</v>
      </c>
      <c r="AX55">
        <v>-0.44</v>
      </c>
      <c r="AY55">
        <v>-0.49</v>
      </c>
      <c r="AZ55">
        <v>-0.57999999999999996</v>
      </c>
      <c r="BA55">
        <v>-0.7</v>
      </c>
      <c r="BB55">
        <v>-0.85</v>
      </c>
      <c r="BC55">
        <v>-1.04</v>
      </c>
      <c r="BD55">
        <v>-1.27</v>
      </c>
      <c r="BE55">
        <v>-1.54</v>
      </c>
      <c r="BF55">
        <v>-1.85</v>
      </c>
      <c r="BG55">
        <v>-2.1800000000000002</v>
      </c>
      <c r="BH55">
        <v>-2.5299999999999998</v>
      </c>
      <c r="BI55">
        <v>-2.9</v>
      </c>
      <c r="BJ55">
        <v>-3.28</v>
      </c>
      <c r="BK55">
        <v>-3.65</v>
      </c>
      <c r="BL55">
        <v>-4</v>
      </c>
      <c r="BM55">
        <v>-4.33</v>
      </c>
      <c r="BN55">
        <v>-4.62</v>
      </c>
      <c r="BO55">
        <v>-4.8600000000000003</v>
      </c>
      <c r="BP55">
        <v>-5.05</v>
      </c>
      <c r="BQ55">
        <v>-5.18</v>
      </c>
      <c r="BR55">
        <v>-5.25</v>
      </c>
      <c r="BS55">
        <v>-5.25</v>
      </c>
      <c r="BT55">
        <v>-5.19</v>
      </c>
      <c r="BU55">
        <v>-5.0599999999999996</v>
      </c>
      <c r="BV55">
        <v>-4.88</v>
      </c>
      <c r="BW55">
        <v>-4.6399999999999997</v>
      </c>
      <c r="BX55">
        <v>-4.3600000000000003</v>
      </c>
      <c r="BY55">
        <v>-4.05</v>
      </c>
      <c r="BZ55">
        <v>-3.71</v>
      </c>
      <c r="CA55">
        <v>-3.35</v>
      </c>
      <c r="CB55">
        <v>-2.98</v>
      </c>
      <c r="CC55">
        <v>-2.61</v>
      </c>
      <c r="CD55">
        <v>-2.2599999999999998</v>
      </c>
      <c r="CE55">
        <v>-1.91</v>
      </c>
      <c r="CF55">
        <v>-1.6</v>
      </c>
      <c r="CG55">
        <v>-1.3</v>
      </c>
      <c r="CH55">
        <v>-1.04</v>
      </c>
      <c r="CI55">
        <v>-0.82</v>
      </c>
      <c r="CJ55">
        <v>-0.63</v>
      </c>
      <c r="CK55">
        <v>-0.46</v>
      </c>
      <c r="CL55">
        <v>-0.34</v>
      </c>
      <c r="CM55">
        <v>-0.23</v>
      </c>
      <c r="CN55">
        <v>-0.16</v>
      </c>
      <c r="CO55">
        <v>-9.5000000000000001E-2</v>
      </c>
      <c r="CP55">
        <v>-4.8000000000000001E-2</v>
      </c>
      <c r="CQ55">
        <v>-0.01</v>
      </c>
      <c r="CR55">
        <v>2.5999999999999999E-2</v>
      </c>
      <c r="CS55">
        <v>6.5000000000000002E-2</v>
      </c>
      <c r="CT55">
        <v>0.11</v>
      </c>
      <c r="CU55">
        <v>0.17</v>
      </c>
      <c r="CV55">
        <v>0.25</v>
      </c>
      <c r="CW55">
        <v>0.35</v>
      </c>
      <c r="CX55">
        <v>0.47</v>
      </c>
      <c r="CY55">
        <v>0.62</v>
      </c>
      <c r="CZ55">
        <v>0.8</v>
      </c>
      <c r="DA55">
        <v>1</v>
      </c>
      <c r="DB55">
        <v>1.24</v>
      </c>
    </row>
    <row r="56" spans="1:106" ht="14.25" customHeight="1" x14ac:dyDescent="0.25">
      <c r="A56" s="59"/>
      <c r="B56" s="59"/>
      <c r="C56" t="s">
        <v>57</v>
      </c>
      <c r="D56">
        <v>16</v>
      </c>
      <c r="E56" t="s">
        <v>2</v>
      </c>
      <c r="F56">
        <v>-1.32</v>
      </c>
      <c r="G56">
        <v>-0.76</v>
      </c>
      <c r="H56">
        <v>-0.17</v>
      </c>
      <c r="I56">
        <v>0.45</v>
      </c>
      <c r="J56">
        <v>1.1000000000000001</v>
      </c>
      <c r="K56">
        <v>1.76</v>
      </c>
      <c r="L56">
        <v>2.42</v>
      </c>
      <c r="M56">
        <v>3.06</v>
      </c>
      <c r="N56">
        <v>3.68</v>
      </c>
      <c r="O56">
        <v>4.2699999999999996</v>
      </c>
      <c r="P56">
        <v>4.8099999999999996</v>
      </c>
      <c r="Q56">
        <v>5.3</v>
      </c>
      <c r="R56">
        <v>5.73</v>
      </c>
      <c r="S56">
        <v>6.1</v>
      </c>
      <c r="T56">
        <v>6.38</v>
      </c>
      <c r="U56">
        <v>6.59</v>
      </c>
      <c r="V56">
        <v>6.73</v>
      </c>
      <c r="W56">
        <v>6.78</v>
      </c>
      <c r="X56">
        <v>6.76</v>
      </c>
      <c r="Y56">
        <v>6.68</v>
      </c>
      <c r="Z56">
        <v>6.54</v>
      </c>
      <c r="AA56">
        <v>6.34</v>
      </c>
      <c r="AB56">
        <v>6.11</v>
      </c>
      <c r="AC56">
        <v>5.85</v>
      </c>
      <c r="AD56">
        <v>5.57</v>
      </c>
      <c r="AE56">
        <v>5.29</v>
      </c>
      <c r="AF56">
        <v>5</v>
      </c>
      <c r="AG56">
        <v>4.72</v>
      </c>
      <c r="AH56">
        <v>4.46</v>
      </c>
      <c r="AI56">
        <v>4.21</v>
      </c>
      <c r="AJ56">
        <v>3.98</v>
      </c>
      <c r="AK56">
        <v>3.78</v>
      </c>
      <c r="AL56">
        <v>3.6</v>
      </c>
      <c r="AM56">
        <v>3.43</v>
      </c>
      <c r="AN56">
        <v>3.28</v>
      </c>
      <c r="AO56">
        <v>3.15</v>
      </c>
      <c r="AP56">
        <v>3.01</v>
      </c>
      <c r="AQ56">
        <v>2.88</v>
      </c>
      <c r="AR56">
        <v>2.74</v>
      </c>
      <c r="AS56">
        <v>2.58</v>
      </c>
      <c r="AT56">
        <v>2.4</v>
      </c>
      <c r="AU56">
        <v>2.2000000000000002</v>
      </c>
      <c r="AV56">
        <v>1.96</v>
      </c>
      <c r="AW56">
        <v>1.69</v>
      </c>
      <c r="AX56">
        <v>1.38</v>
      </c>
      <c r="AY56">
        <v>1.03</v>
      </c>
      <c r="AZ56">
        <v>0.63</v>
      </c>
      <c r="BA56">
        <v>0.2</v>
      </c>
      <c r="BB56">
        <v>-0.28000000000000003</v>
      </c>
      <c r="BC56">
        <v>-0.8</v>
      </c>
      <c r="BD56">
        <v>-1.36</v>
      </c>
      <c r="BE56">
        <v>-1.95</v>
      </c>
      <c r="BF56">
        <v>-2.57</v>
      </c>
      <c r="BG56">
        <v>-3.22</v>
      </c>
      <c r="BH56">
        <v>-3.87</v>
      </c>
      <c r="BI56">
        <v>-4.53</v>
      </c>
      <c r="BJ56">
        <v>-5.17</v>
      </c>
      <c r="BK56">
        <v>-5.79</v>
      </c>
      <c r="BL56">
        <v>-6.37</v>
      </c>
      <c r="BM56">
        <v>-6.88</v>
      </c>
      <c r="BN56">
        <v>-7.32</v>
      </c>
      <c r="BO56">
        <v>-7.66</v>
      </c>
      <c r="BP56">
        <v>-7.9</v>
      </c>
      <c r="BQ56">
        <v>-8.0299999999999994</v>
      </c>
      <c r="BR56">
        <v>-8.0399999999999991</v>
      </c>
      <c r="BS56">
        <v>-7.96</v>
      </c>
      <c r="BT56">
        <v>-7.78</v>
      </c>
      <c r="BU56">
        <v>-7.5</v>
      </c>
      <c r="BV56">
        <v>-7.16</v>
      </c>
      <c r="BW56">
        <v>-6.75</v>
      </c>
      <c r="BX56">
        <v>-6.31</v>
      </c>
      <c r="BY56">
        <v>-5.85</v>
      </c>
      <c r="BZ56">
        <v>-5.39</v>
      </c>
      <c r="CA56">
        <v>-4.9400000000000004</v>
      </c>
      <c r="CB56">
        <v>-4.5199999999999996</v>
      </c>
      <c r="CC56">
        <v>-4.1399999999999997</v>
      </c>
      <c r="CD56">
        <v>-3.81</v>
      </c>
      <c r="CE56">
        <v>-3.54</v>
      </c>
      <c r="CF56">
        <v>-3.34</v>
      </c>
      <c r="CG56">
        <v>-3.19</v>
      </c>
      <c r="CH56">
        <v>-3.11</v>
      </c>
      <c r="CI56">
        <v>-3.08</v>
      </c>
      <c r="CJ56">
        <v>-3.09</v>
      </c>
      <c r="CK56">
        <v>-3.15</v>
      </c>
      <c r="CL56">
        <v>-3.24</v>
      </c>
      <c r="CM56">
        <v>-3.35</v>
      </c>
      <c r="CN56">
        <v>-3.48</v>
      </c>
      <c r="CO56">
        <v>-3.61</v>
      </c>
      <c r="CP56">
        <v>-3.75</v>
      </c>
      <c r="CQ56">
        <v>-3.89</v>
      </c>
      <c r="CR56">
        <v>-4</v>
      </c>
      <c r="CS56">
        <v>-4.0999999999999996</v>
      </c>
      <c r="CT56">
        <v>-4.1500000000000004</v>
      </c>
      <c r="CU56">
        <v>-4.16</v>
      </c>
      <c r="CV56">
        <v>-4.0999999999999996</v>
      </c>
      <c r="CW56">
        <v>-3.97</v>
      </c>
      <c r="CX56">
        <v>-3.78</v>
      </c>
      <c r="CY56">
        <v>-3.51</v>
      </c>
      <c r="CZ56">
        <v>-3.17</v>
      </c>
      <c r="DA56">
        <v>-2.77</v>
      </c>
      <c r="DB56">
        <v>-2.2999999999999998</v>
      </c>
    </row>
    <row r="57" spans="1:106" x14ac:dyDescent="0.25">
      <c r="A57" s="59"/>
      <c r="B57" s="59"/>
      <c r="C57" t="s">
        <v>58</v>
      </c>
      <c r="D57">
        <v>16</v>
      </c>
      <c r="E57" t="s">
        <v>2</v>
      </c>
      <c r="F57">
        <v>-1.65</v>
      </c>
      <c r="G57">
        <v>-1.61</v>
      </c>
      <c r="H57">
        <v>-1.53</v>
      </c>
      <c r="I57">
        <v>-1.43</v>
      </c>
      <c r="J57">
        <v>-1.29</v>
      </c>
      <c r="K57">
        <v>-1.1100000000000001</v>
      </c>
      <c r="L57">
        <v>-0.91</v>
      </c>
      <c r="M57">
        <v>-0.7</v>
      </c>
      <c r="N57">
        <v>-0.5</v>
      </c>
      <c r="O57">
        <v>-0.33</v>
      </c>
      <c r="P57">
        <v>-0.23</v>
      </c>
      <c r="Q57">
        <v>-0.18</v>
      </c>
      <c r="R57">
        <v>-0.2</v>
      </c>
      <c r="S57">
        <v>-0.27</v>
      </c>
      <c r="T57">
        <v>-0.38</v>
      </c>
      <c r="U57">
        <v>-0.51</v>
      </c>
      <c r="V57">
        <v>-0.64</v>
      </c>
      <c r="W57">
        <v>-0.77</v>
      </c>
      <c r="X57">
        <v>-0.89</v>
      </c>
      <c r="Y57">
        <v>-1</v>
      </c>
      <c r="Z57">
        <v>-1.1000000000000001</v>
      </c>
      <c r="AA57">
        <v>-1.19</v>
      </c>
      <c r="AB57">
        <v>-1.27</v>
      </c>
      <c r="AC57">
        <v>-1.35</v>
      </c>
      <c r="AD57">
        <v>-1.41</v>
      </c>
      <c r="AE57">
        <v>-1.46</v>
      </c>
      <c r="AF57">
        <v>-1.49</v>
      </c>
      <c r="AG57">
        <v>-1.51</v>
      </c>
      <c r="AH57">
        <v>-1.52</v>
      </c>
      <c r="AI57">
        <v>-1.52</v>
      </c>
      <c r="AJ57">
        <v>-1.5</v>
      </c>
      <c r="AK57">
        <v>-1.48</v>
      </c>
      <c r="AL57">
        <v>-1.46</v>
      </c>
      <c r="AM57">
        <v>-1.43</v>
      </c>
      <c r="AN57">
        <v>-1.41</v>
      </c>
      <c r="AO57">
        <v>-1.38</v>
      </c>
      <c r="AP57">
        <v>-1.35</v>
      </c>
      <c r="AQ57">
        <v>-1.33</v>
      </c>
      <c r="AR57">
        <v>-1.31</v>
      </c>
      <c r="AS57">
        <v>-1.29</v>
      </c>
      <c r="AT57">
        <v>-1.28</v>
      </c>
      <c r="AU57">
        <v>-1.28</v>
      </c>
      <c r="AV57">
        <v>-1.29</v>
      </c>
      <c r="AW57">
        <v>-1.3</v>
      </c>
      <c r="AX57">
        <v>-1.33</v>
      </c>
      <c r="AY57">
        <v>-1.36</v>
      </c>
      <c r="AZ57">
        <v>-1.39</v>
      </c>
      <c r="BA57">
        <v>-1.43</v>
      </c>
      <c r="BB57">
        <v>-1.47</v>
      </c>
      <c r="BC57">
        <v>-1.51</v>
      </c>
      <c r="BD57">
        <v>-1.53</v>
      </c>
      <c r="BE57">
        <v>-1.54</v>
      </c>
      <c r="BF57">
        <v>-1.52</v>
      </c>
      <c r="BG57">
        <v>-1.48</v>
      </c>
      <c r="BH57">
        <v>-1.4</v>
      </c>
      <c r="BI57">
        <v>-1.28</v>
      </c>
      <c r="BJ57">
        <v>-1.1499999999999999</v>
      </c>
      <c r="BK57">
        <v>-1.02</v>
      </c>
      <c r="BL57">
        <v>-0.93</v>
      </c>
      <c r="BM57">
        <v>-0.91</v>
      </c>
      <c r="BN57">
        <v>-1.02</v>
      </c>
      <c r="BO57">
        <v>-1.27</v>
      </c>
      <c r="BP57">
        <v>-1.69</v>
      </c>
      <c r="BQ57">
        <v>-2.25</v>
      </c>
      <c r="BR57">
        <v>-2.9</v>
      </c>
      <c r="BS57">
        <v>-3.56</v>
      </c>
      <c r="BT57">
        <v>-4.16</v>
      </c>
      <c r="BU57">
        <v>-4.59</v>
      </c>
      <c r="BV57">
        <v>-4.79</v>
      </c>
      <c r="BW57">
        <v>-4.71</v>
      </c>
      <c r="BX57">
        <v>-4.34</v>
      </c>
      <c r="BY57">
        <v>-3.7</v>
      </c>
      <c r="BZ57">
        <v>-2.81</v>
      </c>
      <c r="CA57">
        <v>-1.75</v>
      </c>
      <c r="CB57">
        <v>-0.56999999999999995</v>
      </c>
      <c r="CC57">
        <v>0.64</v>
      </c>
      <c r="CD57">
        <v>1.81</v>
      </c>
      <c r="CE57">
        <v>2.85</v>
      </c>
      <c r="CF57">
        <v>3.72</v>
      </c>
      <c r="CG57">
        <v>4.3499999999999996</v>
      </c>
      <c r="CH57">
        <v>4.71</v>
      </c>
      <c r="CI57">
        <v>4.78</v>
      </c>
      <c r="CJ57">
        <v>4.58</v>
      </c>
      <c r="CK57">
        <v>4.12</v>
      </c>
      <c r="CL57">
        <v>3.45</v>
      </c>
      <c r="CM57">
        <v>2.64</v>
      </c>
      <c r="CN57">
        <v>1.78</v>
      </c>
      <c r="CO57">
        <v>0.94</v>
      </c>
      <c r="CP57">
        <v>0.19</v>
      </c>
      <c r="CQ57">
        <v>-0.41</v>
      </c>
      <c r="CR57">
        <v>-0.83</v>
      </c>
      <c r="CS57">
        <v>-1.0900000000000001</v>
      </c>
      <c r="CT57">
        <v>-1.21</v>
      </c>
      <c r="CU57">
        <v>-1.24</v>
      </c>
      <c r="CV57">
        <v>-1.24</v>
      </c>
      <c r="CW57">
        <v>-1.23</v>
      </c>
      <c r="CX57">
        <v>-1.23</v>
      </c>
      <c r="CY57">
        <v>-1.25</v>
      </c>
      <c r="CZ57">
        <v>-1.28</v>
      </c>
      <c r="DA57">
        <v>-1.31</v>
      </c>
      <c r="DB57">
        <v>-1.32</v>
      </c>
    </row>
    <row r="58" spans="1:106" x14ac:dyDescent="0.25">
      <c r="A58" s="59"/>
      <c r="B58" s="59"/>
      <c r="C58" t="s">
        <v>59</v>
      </c>
      <c r="D58">
        <v>16</v>
      </c>
      <c r="E58" t="s">
        <v>2</v>
      </c>
      <c r="F58">
        <v>6.58</v>
      </c>
      <c r="G58">
        <v>6.47</v>
      </c>
      <c r="H58">
        <v>6.32</v>
      </c>
      <c r="I58">
        <v>6.14</v>
      </c>
      <c r="J58">
        <v>5.94</v>
      </c>
      <c r="K58">
        <v>5.73</v>
      </c>
      <c r="L58">
        <v>5.51</v>
      </c>
      <c r="M58">
        <v>5.28</v>
      </c>
      <c r="N58">
        <v>5.05</v>
      </c>
      <c r="O58">
        <v>4.83</v>
      </c>
      <c r="P58">
        <v>4.6100000000000003</v>
      </c>
      <c r="Q58">
        <v>4.4000000000000004</v>
      </c>
      <c r="R58">
        <v>4.2</v>
      </c>
      <c r="S58">
        <v>3.99</v>
      </c>
      <c r="T58">
        <v>3.79</v>
      </c>
      <c r="U58">
        <v>3.58</v>
      </c>
      <c r="V58">
        <v>3.37</v>
      </c>
      <c r="W58">
        <v>3.14</v>
      </c>
      <c r="X58">
        <v>2.91</v>
      </c>
      <c r="Y58">
        <v>2.65</v>
      </c>
      <c r="Z58">
        <v>2.38</v>
      </c>
      <c r="AA58">
        <v>2.08</v>
      </c>
      <c r="AB58">
        <v>1.76</v>
      </c>
      <c r="AC58">
        <v>1.42</v>
      </c>
      <c r="AD58">
        <v>1.05</v>
      </c>
      <c r="AE58">
        <v>0.66</v>
      </c>
      <c r="AF58">
        <v>0.23</v>
      </c>
      <c r="AG58">
        <v>-0.21</v>
      </c>
      <c r="AH58">
        <v>-0.69</v>
      </c>
      <c r="AI58">
        <v>-1.19</v>
      </c>
      <c r="AJ58">
        <v>-1.71</v>
      </c>
      <c r="AK58">
        <v>-2.25</v>
      </c>
      <c r="AL58">
        <v>-2.81</v>
      </c>
      <c r="AM58">
        <v>-3.38</v>
      </c>
      <c r="AN58">
        <v>-3.96</v>
      </c>
      <c r="AO58">
        <v>-4.54</v>
      </c>
      <c r="AP58">
        <v>-5.13</v>
      </c>
      <c r="AQ58">
        <v>-5.7</v>
      </c>
      <c r="AR58">
        <v>-6.26</v>
      </c>
      <c r="AS58">
        <v>-6.79</v>
      </c>
      <c r="AT58">
        <v>-7.3</v>
      </c>
      <c r="AU58">
        <v>-7.77</v>
      </c>
      <c r="AV58">
        <v>-8.1999999999999993</v>
      </c>
      <c r="AW58">
        <v>-8.58</v>
      </c>
      <c r="AX58">
        <v>-8.91</v>
      </c>
      <c r="AY58">
        <v>-9.18</v>
      </c>
      <c r="AZ58">
        <v>-9.4</v>
      </c>
      <c r="BA58">
        <v>-9.5500000000000007</v>
      </c>
      <c r="BB58">
        <v>-9.64</v>
      </c>
      <c r="BC58">
        <v>-9.68</v>
      </c>
      <c r="BD58">
        <v>-9.66</v>
      </c>
      <c r="BE58">
        <v>-9.59</v>
      </c>
      <c r="BF58">
        <v>-9.48</v>
      </c>
      <c r="BG58">
        <v>-9.33</v>
      </c>
      <c r="BH58">
        <v>-9.15</v>
      </c>
      <c r="BI58">
        <v>-8.94</v>
      </c>
      <c r="BJ58">
        <v>-8.7200000000000006</v>
      </c>
      <c r="BK58">
        <v>-8.49</v>
      </c>
      <c r="BL58">
        <v>-8.25</v>
      </c>
      <c r="BM58">
        <v>-8.01</v>
      </c>
      <c r="BN58">
        <v>-7.77</v>
      </c>
      <c r="BO58">
        <v>-7.54</v>
      </c>
      <c r="BP58">
        <v>-7.3</v>
      </c>
      <c r="BQ58">
        <v>-7.06</v>
      </c>
      <c r="BR58">
        <v>-6.82</v>
      </c>
      <c r="BS58">
        <v>-6.57</v>
      </c>
      <c r="BT58">
        <v>-6.31</v>
      </c>
      <c r="BU58">
        <v>-6.03</v>
      </c>
      <c r="BV58">
        <v>-5.74</v>
      </c>
      <c r="BW58">
        <v>-5.43</v>
      </c>
      <c r="BX58">
        <v>-5.1100000000000003</v>
      </c>
      <c r="BY58">
        <v>-4.76</v>
      </c>
      <c r="BZ58">
        <v>-4.3899999999999997</v>
      </c>
      <c r="CA58">
        <v>-3.99</v>
      </c>
      <c r="CB58">
        <v>-3.57</v>
      </c>
      <c r="CC58">
        <v>-3.14</v>
      </c>
      <c r="CD58">
        <v>-2.67</v>
      </c>
      <c r="CE58">
        <v>-2.19</v>
      </c>
      <c r="CF58">
        <v>-1.69</v>
      </c>
      <c r="CG58">
        <v>-1.17</v>
      </c>
      <c r="CH58">
        <v>-0.63</v>
      </c>
      <c r="CI58">
        <v>-0.08</v>
      </c>
      <c r="CJ58">
        <v>0.48</v>
      </c>
      <c r="CK58">
        <v>1.05</v>
      </c>
      <c r="CL58">
        <v>1.62</v>
      </c>
      <c r="CM58">
        <v>2.2000000000000002</v>
      </c>
      <c r="CN58">
        <v>2.76</v>
      </c>
      <c r="CO58">
        <v>3.32</v>
      </c>
      <c r="CP58">
        <v>3.85</v>
      </c>
      <c r="CQ58">
        <v>4.37</v>
      </c>
      <c r="CR58">
        <v>4.8499999999999996</v>
      </c>
      <c r="CS58">
        <v>5.3</v>
      </c>
      <c r="CT58">
        <v>5.7</v>
      </c>
      <c r="CU58">
        <v>6.06</v>
      </c>
      <c r="CV58">
        <v>6.36</v>
      </c>
      <c r="CW58">
        <v>6.61</v>
      </c>
      <c r="CX58">
        <v>6.79</v>
      </c>
      <c r="CY58">
        <v>6.92</v>
      </c>
      <c r="CZ58">
        <v>6.98</v>
      </c>
      <c r="DA58">
        <v>6.98</v>
      </c>
      <c r="DB58">
        <v>6.92</v>
      </c>
    </row>
    <row r="59" spans="1:106" x14ac:dyDescent="0.25">
      <c r="A59" s="59"/>
      <c r="B59" s="59"/>
      <c r="C59" t="s">
        <v>60</v>
      </c>
      <c r="D59">
        <v>16</v>
      </c>
      <c r="E59" t="s">
        <v>2</v>
      </c>
      <c r="F59">
        <v>-6.81</v>
      </c>
      <c r="G59">
        <v>-6.07</v>
      </c>
      <c r="H59">
        <v>-5.33</v>
      </c>
      <c r="I59">
        <v>-4.57</v>
      </c>
      <c r="J59">
        <v>-3.79</v>
      </c>
      <c r="K59">
        <v>-2.99</v>
      </c>
      <c r="L59">
        <v>-2.19</v>
      </c>
      <c r="M59">
        <v>-1.42</v>
      </c>
      <c r="N59">
        <v>-0.73</v>
      </c>
      <c r="O59">
        <v>-0.14000000000000001</v>
      </c>
      <c r="P59">
        <v>0.3</v>
      </c>
      <c r="Q59">
        <v>0.61</v>
      </c>
      <c r="R59">
        <v>0.79</v>
      </c>
      <c r="S59">
        <v>0.88</v>
      </c>
      <c r="T59">
        <v>0.9</v>
      </c>
      <c r="U59">
        <v>0.89</v>
      </c>
      <c r="V59">
        <v>0.89</v>
      </c>
      <c r="W59">
        <v>0.9</v>
      </c>
      <c r="X59">
        <v>0.94</v>
      </c>
      <c r="Y59">
        <v>1</v>
      </c>
      <c r="Z59">
        <v>1.07</v>
      </c>
      <c r="AA59">
        <v>1.1599999999999999</v>
      </c>
      <c r="AB59">
        <v>1.26</v>
      </c>
      <c r="AC59">
        <v>1.38</v>
      </c>
      <c r="AD59">
        <v>1.52</v>
      </c>
      <c r="AE59">
        <v>1.68</v>
      </c>
      <c r="AF59">
        <v>1.88</v>
      </c>
      <c r="AG59">
        <v>2.1</v>
      </c>
      <c r="AH59">
        <v>2.36</v>
      </c>
      <c r="AI59">
        <v>2.64</v>
      </c>
      <c r="AJ59">
        <v>2.93</v>
      </c>
      <c r="AK59">
        <v>3.23</v>
      </c>
      <c r="AL59">
        <v>3.51</v>
      </c>
      <c r="AM59">
        <v>3.78</v>
      </c>
      <c r="AN59">
        <v>4.01</v>
      </c>
      <c r="AO59">
        <v>4.21</v>
      </c>
      <c r="AP59">
        <v>4.38</v>
      </c>
      <c r="AQ59">
        <v>4.51</v>
      </c>
      <c r="AR59">
        <v>4.5999999999999996</v>
      </c>
      <c r="AS59">
        <v>4.66</v>
      </c>
      <c r="AT59">
        <v>4.6900000000000004</v>
      </c>
      <c r="AU59">
        <v>4.68</v>
      </c>
      <c r="AV59">
        <v>4.6399999999999997</v>
      </c>
      <c r="AW59">
        <v>4.57</v>
      </c>
      <c r="AX59">
        <v>4.45</v>
      </c>
      <c r="AY59">
        <v>4.29</v>
      </c>
      <c r="AZ59">
        <v>4.08</v>
      </c>
      <c r="BA59">
        <v>3.82</v>
      </c>
      <c r="BB59">
        <v>3.53</v>
      </c>
      <c r="BC59">
        <v>3.2</v>
      </c>
      <c r="BD59">
        <v>2.87</v>
      </c>
      <c r="BE59">
        <v>2.5499999999999998</v>
      </c>
      <c r="BF59">
        <v>2.25</v>
      </c>
      <c r="BG59">
        <v>2.0099999999999998</v>
      </c>
      <c r="BH59">
        <v>1.83</v>
      </c>
      <c r="BI59">
        <v>1.71</v>
      </c>
      <c r="BJ59">
        <v>1.64</v>
      </c>
      <c r="BK59">
        <v>1.58</v>
      </c>
      <c r="BL59">
        <v>1.5</v>
      </c>
      <c r="BM59">
        <v>1.35</v>
      </c>
      <c r="BN59">
        <v>1.1100000000000001</v>
      </c>
      <c r="BO59">
        <v>0.75</v>
      </c>
      <c r="BP59">
        <v>0.26</v>
      </c>
      <c r="BQ59">
        <v>-0.33</v>
      </c>
      <c r="BR59">
        <v>-0.97</v>
      </c>
      <c r="BS59">
        <v>-1.61</v>
      </c>
      <c r="BT59">
        <v>-2.1800000000000002</v>
      </c>
      <c r="BU59">
        <v>-2.6</v>
      </c>
      <c r="BV59">
        <v>-2.82</v>
      </c>
      <c r="BW59">
        <v>-2.82</v>
      </c>
      <c r="BX59">
        <v>-2.58</v>
      </c>
      <c r="BY59">
        <v>-2.1</v>
      </c>
      <c r="BZ59">
        <v>-1.43</v>
      </c>
      <c r="CA59">
        <v>-0.61</v>
      </c>
      <c r="CB59">
        <v>0.3</v>
      </c>
      <c r="CC59">
        <v>1.24</v>
      </c>
      <c r="CD59">
        <v>2.15</v>
      </c>
      <c r="CE59">
        <v>2.96</v>
      </c>
      <c r="CF59">
        <v>3.62</v>
      </c>
      <c r="CG59">
        <v>4.08</v>
      </c>
      <c r="CH59">
        <v>4.3</v>
      </c>
      <c r="CI59">
        <v>4.2699999999999996</v>
      </c>
      <c r="CJ59">
        <v>3.95</v>
      </c>
      <c r="CK59">
        <v>3.36</v>
      </c>
      <c r="CL59">
        <v>2.4700000000000002</v>
      </c>
      <c r="CM59">
        <v>1.31</v>
      </c>
      <c r="CN59">
        <v>-4.8000000000000001E-2</v>
      </c>
      <c r="CO59">
        <v>-1.56</v>
      </c>
      <c r="CP59">
        <v>-3.16</v>
      </c>
      <c r="CQ59">
        <v>-4.74</v>
      </c>
      <c r="CR59">
        <v>-6.21</v>
      </c>
      <c r="CS59">
        <v>-7.49</v>
      </c>
      <c r="CT59">
        <v>-8.5</v>
      </c>
      <c r="CU59">
        <v>-9.1999999999999993</v>
      </c>
      <c r="CV59">
        <v>-9.61</v>
      </c>
      <c r="CW59">
        <v>-9.7100000000000009</v>
      </c>
      <c r="CX59">
        <v>-9.56</v>
      </c>
      <c r="CY59">
        <v>-9.1999999999999993</v>
      </c>
      <c r="CZ59">
        <v>-8.68</v>
      </c>
      <c r="DA59">
        <v>-8.0500000000000007</v>
      </c>
      <c r="DB59">
        <v>-7.33</v>
      </c>
    </row>
    <row r="60" spans="1:106" x14ac:dyDescent="0.25">
      <c r="A60" s="59"/>
      <c r="B60" s="59"/>
      <c r="C60" t="s">
        <v>61</v>
      </c>
      <c r="D60">
        <v>16</v>
      </c>
      <c r="E60" t="s">
        <v>2</v>
      </c>
      <c r="F60">
        <v>0.8</v>
      </c>
      <c r="G60">
        <v>0.95</v>
      </c>
      <c r="H60">
        <v>1.48</v>
      </c>
      <c r="I60">
        <v>2.36</v>
      </c>
      <c r="J60">
        <v>3.52</v>
      </c>
      <c r="K60">
        <v>4.84</v>
      </c>
      <c r="L60">
        <v>6.15</v>
      </c>
      <c r="M60">
        <v>7.32</v>
      </c>
      <c r="N60">
        <v>8.23</v>
      </c>
      <c r="O60">
        <v>8.8000000000000007</v>
      </c>
      <c r="P60">
        <v>9.0399999999999991</v>
      </c>
      <c r="Q60">
        <v>8.9600000000000009</v>
      </c>
      <c r="R60">
        <v>8.6199999999999992</v>
      </c>
      <c r="S60">
        <v>8.11</v>
      </c>
      <c r="T60">
        <v>7.51</v>
      </c>
      <c r="U60">
        <v>6.9</v>
      </c>
      <c r="V60">
        <v>6.35</v>
      </c>
      <c r="W60">
        <v>5.89</v>
      </c>
      <c r="X60">
        <v>5.56</v>
      </c>
      <c r="Y60">
        <v>5.35</v>
      </c>
      <c r="Z60">
        <v>5.25</v>
      </c>
      <c r="AA60">
        <v>5.24</v>
      </c>
      <c r="AB60">
        <v>5.29</v>
      </c>
      <c r="AC60">
        <v>5.35</v>
      </c>
      <c r="AD60">
        <v>5.41</v>
      </c>
      <c r="AE60">
        <v>5.46</v>
      </c>
      <c r="AF60">
        <v>5.48</v>
      </c>
      <c r="AG60">
        <v>5.46</v>
      </c>
      <c r="AH60">
        <v>5.41</v>
      </c>
      <c r="AI60">
        <v>5.32</v>
      </c>
      <c r="AJ60">
        <v>5.21</v>
      </c>
      <c r="AK60">
        <v>5.07</v>
      </c>
      <c r="AL60">
        <v>4.9400000000000004</v>
      </c>
      <c r="AM60">
        <v>4.8</v>
      </c>
      <c r="AN60">
        <v>4.68</v>
      </c>
      <c r="AO60">
        <v>4.59</v>
      </c>
      <c r="AP60">
        <v>4.54</v>
      </c>
      <c r="AQ60">
        <v>4.54</v>
      </c>
      <c r="AR60">
        <v>4.62</v>
      </c>
      <c r="AS60">
        <v>4.76</v>
      </c>
      <c r="AT60">
        <v>4.99</v>
      </c>
      <c r="AU60">
        <v>5.29</v>
      </c>
      <c r="AV60">
        <v>5.68</v>
      </c>
      <c r="AW60">
        <v>6.12</v>
      </c>
      <c r="AX60">
        <v>6.59</v>
      </c>
      <c r="AY60">
        <v>7.06</v>
      </c>
      <c r="AZ60">
        <v>7.49</v>
      </c>
      <c r="BA60">
        <v>7.83</v>
      </c>
      <c r="BB60">
        <v>8.0399999999999991</v>
      </c>
      <c r="BC60">
        <v>8.1</v>
      </c>
      <c r="BD60">
        <v>7.98</v>
      </c>
      <c r="BE60">
        <v>7.68</v>
      </c>
      <c r="BF60">
        <v>7.24</v>
      </c>
      <c r="BG60">
        <v>6.73</v>
      </c>
      <c r="BH60">
        <v>6.23</v>
      </c>
      <c r="BI60">
        <v>5.84</v>
      </c>
      <c r="BJ60">
        <v>5.66</v>
      </c>
      <c r="BK60">
        <v>5.79</v>
      </c>
      <c r="BL60">
        <v>6.27</v>
      </c>
      <c r="BM60">
        <v>7.14</v>
      </c>
      <c r="BN60">
        <v>8.34</v>
      </c>
      <c r="BO60">
        <v>9.76</v>
      </c>
      <c r="BP60">
        <v>11.3</v>
      </c>
      <c r="BQ60">
        <v>12.7</v>
      </c>
      <c r="BR60">
        <v>13.9</v>
      </c>
      <c r="BS60">
        <v>14.8</v>
      </c>
      <c r="BT60">
        <v>15.4</v>
      </c>
      <c r="BU60">
        <v>15.6</v>
      </c>
      <c r="BV60">
        <v>15.4</v>
      </c>
      <c r="BW60">
        <v>15</v>
      </c>
      <c r="BX60">
        <v>14.2</v>
      </c>
      <c r="BY60">
        <v>13.3</v>
      </c>
      <c r="BZ60">
        <v>12.3</v>
      </c>
      <c r="CA60">
        <v>11.1</v>
      </c>
      <c r="CB60">
        <v>9.91</v>
      </c>
      <c r="CC60">
        <v>8.6999999999999993</v>
      </c>
      <c r="CD60">
        <v>7.49</v>
      </c>
      <c r="CE60">
        <v>6.33</v>
      </c>
      <c r="CF60">
        <v>5.23</v>
      </c>
      <c r="CG60">
        <v>4.2</v>
      </c>
      <c r="CH60">
        <v>3.26</v>
      </c>
      <c r="CI60">
        <v>2.4300000000000002</v>
      </c>
      <c r="CJ60">
        <v>1.73</v>
      </c>
      <c r="CK60">
        <v>1.1599999999999999</v>
      </c>
      <c r="CL60">
        <v>0.76</v>
      </c>
      <c r="CM60">
        <v>0.53</v>
      </c>
      <c r="CN60">
        <v>0.47</v>
      </c>
      <c r="CO60">
        <v>0.57999999999999996</v>
      </c>
      <c r="CP60">
        <v>0.81</v>
      </c>
      <c r="CQ60">
        <v>1.1200000000000001</v>
      </c>
      <c r="CR60">
        <v>1.44</v>
      </c>
      <c r="CS60">
        <v>1.72</v>
      </c>
      <c r="CT60">
        <v>1.9</v>
      </c>
      <c r="CU60">
        <v>1.93</v>
      </c>
      <c r="CV60">
        <v>1.83</v>
      </c>
      <c r="CW60">
        <v>1.57</v>
      </c>
      <c r="CX60">
        <v>1.23</v>
      </c>
      <c r="CY60">
        <v>0.85</v>
      </c>
      <c r="CZ60">
        <v>0.5</v>
      </c>
      <c r="DA60">
        <v>0.25</v>
      </c>
      <c r="DB60">
        <v>0.17</v>
      </c>
    </row>
    <row r="61" spans="1:106" x14ac:dyDescent="0.25">
      <c r="A61" s="59"/>
      <c r="B61" s="59"/>
      <c r="C61" t="s">
        <v>62</v>
      </c>
      <c r="D61">
        <v>16</v>
      </c>
      <c r="E61" t="s">
        <v>2</v>
      </c>
      <c r="F61">
        <v>9.18</v>
      </c>
      <c r="G61">
        <v>8.43</v>
      </c>
      <c r="H61">
        <v>7.39</v>
      </c>
      <c r="I61">
        <v>6.08</v>
      </c>
      <c r="J61">
        <v>4.5199999999999996</v>
      </c>
      <c r="K61">
        <v>2.82</v>
      </c>
      <c r="L61">
        <v>1.1100000000000001</v>
      </c>
      <c r="M61">
        <v>-0.49</v>
      </c>
      <c r="N61">
        <v>-1.82</v>
      </c>
      <c r="O61">
        <v>-2.78</v>
      </c>
      <c r="P61">
        <v>-3.34</v>
      </c>
      <c r="Q61">
        <v>-3.49</v>
      </c>
      <c r="R61">
        <v>-3.28</v>
      </c>
      <c r="S61">
        <v>-2.76</v>
      </c>
      <c r="T61">
        <v>-2.06</v>
      </c>
      <c r="U61">
        <v>-1.27</v>
      </c>
      <c r="V61">
        <v>-0.47</v>
      </c>
      <c r="W61">
        <v>0.28000000000000003</v>
      </c>
      <c r="X61">
        <v>0.92</v>
      </c>
      <c r="Y61">
        <v>1.46</v>
      </c>
      <c r="Z61">
        <v>1.9</v>
      </c>
      <c r="AA61">
        <v>2.25</v>
      </c>
      <c r="AB61">
        <v>2.54</v>
      </c>
      <c r="AC61">
        <v>2.79</v>
      </c>
      <c r="AD61">
        <v>3.01</v>
      </c>
      <c r="AE61">
        <v>3.21</v>
      </c>
      <c r="AF61">
        <v>3.4</v>
      </c>
      <c r="AG61">
        <v>3.58</v>
      </c>
      <c r="AH61">
        <v>3.75</v>
      </c>
      <c r="AI61">
        <v>3.92</v>
      </c>
      <c r="AJ61">
        <v>4.09</v>
      </c>
      <c r="AK61">
        <v>4.26</v>
      </c>
      <c r="AL61">
        <v>4.43</v>
      </c>
      <c r="AM61">
        <v>4.62</v>
      </c>
      <c r="AN61">
        <v>4.82</v>
      </c>
      <c r="AO61">
        <v>5.03</v>
      </c>
      <c r="AP61">
        <v>5.25</v>
      </c>
      <c r="AQ61">
        <v>5.47</v>
      </c>
      <c r="AR61">
        <v>5.68</v>
      </c>
      <c r="AS61">
        <v>5.88</v>
      </c>
      <c r="AT61">
        <v>6.06</v>
      </c>
      <c r="AU61">
        <v>6.2</v>
      </c>
      <c r="AV61">
        <v>6.33</v>
      </c>
      <c r="AW61">
        <v>6.44</v>
      </c>
      <c r="AX61">
        <v>6.57</v>
      </c>
      <c r="AY61">
        <v>6.75</v>
      </c>
      <c r="AZ61">
        <v>7</v>
      </c>
      <c r="BA61">
        <v>7.37</v>
      </c>
      <c r="BB61">
        <v>7.9</v>
      </c>
      <c r="BC61">
        <v>8.58</v>
      </c>
      <c r="BD61">
        <v>9.44</v>
      </c>
      <c r="BE61">
        <v>10.4</v>
      </c>
      <c r="BF61">
        <v>11.5</v>
      </c>
      <c r="BG61">
        <v>12.6</v>
      </c>
      <c r="BH61">
        <v>13.5</v>
      </c>
      <c r="BI61">
        <v>14.2</v>
      </c>
      <c r="BJ61">
        <v>14.5</v>
      </c>
      <c r="BK61">
        <v>14.4</v>
      </c>
      <c r="BL61">
        <v>13.8</v>
      </c>
      <c r="BM61">
        <v>12.8</v>
      </c>
      <c r="BN61">
        <v>11.4</v>
      </c>
      <c r="BO61">
        <v>9.86</v>
      </c>
      <c r="BP61">
        <v>8.1300000000000008</v>
      </c>
      <c r="BQ61">
        <v>6.39</v>
      </c>
      <c r="BR61">
        <v>4.74</v>
      </c>
      <c r="BS61">
        <v>3.24</v>
      </c>
      <c r="BT61">
        <v>1.98</v>
      </c>
      <c r="BU61">
        <v>1</v>
      </c>
      <c r="BV61">
        <v>0.28999999999999998</v>
      </c>
      <c r="BW61">
        <v>-0.18</v>
      </c>
      <c r="BX61">
        <v>-0.42</v>
      </c>
      <c r="BY61">
        <v>-0.51</v>
      </c>
      <c r="BZ61">
        <v>-0.49</v>
      </c>
      <c r="CA61">
        <v>-0.43</v>
      </c>
      <c r="CB61">
        <v>-0.38</v>
      </c>
      <c r="CC61">
        <v>-0.37</v>
      </c>
      <c r="CD61">
        <v>-0.42</v>
      </c>
      <c r="CE61">
        <v>-0.53</v>
      </c>
      <c r="CF61">
        <v>-0.68</v>
      </c>
      <c r="CG61">
        <v>-0.84</v>
      </c>
      <c r="CH61">
        <v>-0.96</v>
      </c>
      <c r="CI61">
        <v>-0.99</v>
      </c>
      <c r="CJ61">
        <v>-0.89</v>
      </c>
      <c r="CK61">
        <v>-0.62</v>
      </c>
      <c r="CL61">
        <v>-0.13</v>
      </c>
      <c r="CM61">
        <v>0.55000000000000004</v>
      </c>
      <c r="CN61">
        <v>1.41</v>
      </c>
      <c r="CO61">
        <v>2.42</v>
      </c>
      <c r="CP61">
        <v>3.53</v>
      </c>
      <c r="CQ61">
        <v>4.68</v>
      </c>
      <c r="CR61">
        <v>5.8</v>
      </c>
      <c r="CS61">
        <v>6.82</v>
      </c>
      <c r="CT61">
        <v>7.7</v>
      </c>
      <c r="CU61">
        <v>8.39</v>
      </c>
      <c r="CV61">
        <v>8.9</v>
      </c>
      <c r="CW61">
        <v>9.24</v>
      </c>
      <c r="CX61">
        <v>9.39</v>
      </c>
      <c r="CY61">
        <v>9.3699999999999992</v>
      </c>
      <c r="CZ61">
        <v>9.18</v>
      </c>
      <c r="DA61">
        <v>8.8000000000000007</v>
      </c>
      <c r="DB61">
        <v>8.2100000000000009</v>
      </c>
    </row>
    <row r="62" spans="1:106" x14ac:dyDescent="0.25">
      <c r="A62" s="59"/>
      <c r="B62" s="59"/>
      <c r="C62" t="s">
        <v>63</v>
      </c>
      <c r="D62">
        <v>16</v>
      </c>
      <c r="E62" t="s">
        <v>2</v>
      </c>
      <c r="F62">
        <v>-6.74</v>
      </c>
      <c r="G62">
        <v>-6.46</v>
      </c>
      <c r="H62">
        <v>-6.09</v>
      </c>
      <c r="I62">
        <v>-5.64</v>
      </c>
      <c r="J62">
        <v>-5.16</v>
      </c>
      <c r="K62">
        <v>-4.67</v>
      </c>
      <c r="L62">
        <v>-4.22</v>
      </c>
      <c r="M62">
        <v>-3.85</v>
      </c>
      <c r="N62">
        <v>-3.59</v>
      </c>
      <c r="O62">
        <v>-3.43</v>
      </c>
      <c r="P62">
        <v>-3.38</v>
      </c>
      <c r="Q62">
        <v>-3.41</v>
      </c>
      <c r="R62">
        <v>-3.49</v>
      </c>
      <c r="S62">
        <v>-3.6</v>
      </c>
      <c r="T62">
        <v>-3.72</v>
      </c>
      <c r="U62">
        <v>-3.82</v>
      </c>
      <c r="V62">
        <v>-3.91</v>
      </c>
      <c r="W62">
        <v>-3.98</v>
      </c>
      <c r="X62">
        <v>-4.04</v>
      </c>
      <c r="Y62">
        <v>-4.09</v>
      </c>
      <c r="Z62">
        <v>-4.1500000000000004</v>
      </c>
      <c r="AA62">
        <v>-4.22</v>
      </c>
      <c r="AB62">
        <v>-4.3</v>
      </c>
      <c r="AC62">
        <v>-4.4000000000000004</v>
      </c>
      <c r="AD62">
        <v>-4.5199999999999996</v>
      </c>
      <c r="AE62">
        <v>-4.66</v>
      </c>
      <c r="AF62">
        <v>-4.83</v>
      </c>
      <c r="AG62">
        <v>-5.0199999999999996</v>
      </c>
      <c r="AH62">
        <v>-5.23</v>
      </c>
      <c r="AI62">
        <v>-5.46</v>
      </c>
      <c r="AJ62">
        <v>-5.72</v>
      </c>
      <c r="AK62">
        <v>-5.99</v>
      </c>
      <c r="AL62">
        <v>-6.28</v>
      </c>
      <c r="AM62">
        <v>-6.57</v>
      </c>
      <c r="AN62">
        <v>-6.86</v>
      </c>
      <c r="AO62">
        <v>-7.13</v>
      </c>
      <c r="AP62">
        <v>-7.38</v>
      </c>
      <c r="AQ62">
        <v>-7.6</v>
      </c>
      <c r="AR62">
        <v>-7.77</v>
      </c>
      <c r="AS62">
        <v>-7.88</v>
      </c>
      <c r="AT62">
        <v>-7.92</v>
      </c>
      <c r="AU62">
        <v>-7.9</v>
      </c>
      <c r="AV62">
        <v>-7.81</v>
      </c>
      <c r="AW62">
        <v>-7.64</v>
      </c>
      <c r="AX62">
        <v>-7.4</v>
      </c>
      <c r="AY62">
        <v>-7.1</v>
      </c>
      <c r="AZ62">
        <v>-6.74</v>
      </c>
      <c r="BA62">
        <v>-6.33</v>
      </c>
      <c r="BB62">
        <v>-5.87</v>
      </c>
      <c r="BC62">
        <v>-5.36</v>
      </c>
      <c r="BD62">
        <v>-4.82</v>
      </c>
      <c r="BE62">
        <v>-4.25</v>
      </c>
      <c r="BF62">
        <v>-3.66</v>
      </c>
      <c r="BG62">
        <v>-3.06</v>
      </c>
      <c r="BH62">
        <v>-2.48</v>
      </c>
      <c r="BI62">
        <v>-1.96</v>
      </c>
      <c r="BJ62">
        <v>-1.53</v>
      </c>
      <c r="BK62">
        <v>-1.24</v>
      </c>
      <c r="BL62">
        <v>-1.1100000000000001</v>
      </c>
      <c r="BM62">
        <v>-1.19</v>
      </c>
      <c r="BN62">
        <v>-1.49</v>
      </c>
      <c r="BO62">
        <v>-2</v>
      </c>
      <c r="BP62">
        <v>-2.7</v>
      </c>
      <c r="BQ62">
        <v>-3.55</v>
      </c>
      <c r="BR62">
        <v>-4.51</v>
      </c>
      <c r="BS62">
        <v>-5.52</v>
      </c>
      <c r="BT62">
        <v>-6.54</v>
      </c>
      <c r="BU62">
        <v>-7.5</v>
      </c>
      <c r="BV62">
        <v>-8.3800000000000008</v>
      </c>
      <c r="BW62">
        <v>-9.16</v>
      </c>
      <c r="BX62">
        <v>-9.85</v>
      </c>
      <c r="BY62">
        <v>-10.4</v>
      </c>
      <c r="BZ62">
        <v>-11</v>
      </c>
      <c r="CA62">
        <v>-11.4</v>
      </c>
      <c r="CB62">
        <v>-11.8</v>
      </c>
      <c r="CC62">
        <v>-12.2</v>
      </c>
      <c r="CD62">
        <v>-12.6</v>
      </c>
      <c r="CE62">
        <v>-12.9</v>
      </c>
      <c r="CF62">
        <v>-13.2</v>
      </c>
      <c r="CG62">
        <v>-13.5</v>
      </c>
      <c r="CH62">
        <v>-13.8</v>
      </c>
      <c r="CI62">
        <v>-13.9</v>
      </c>
      <c r="CJ62">
        <v>-14</v>
      </c>
      <c r="CK62">
        <v>-14</v>
      </c>
      <c r="CL62">
        <v>-13.9</v>
      </c>
      <c r="CM62">
        <v>-13.7</v>
      </c>
      <c r="CN62">
        <v>-13.5</v>
      </c>
      <c r="CO62">
        <v>-13.1</v>
      </c>
      <c r="CP62">
        <v>-12.6</v>
      </c>
      <c r="CQ62">
        <v>-12.1</v>
      </c>
      <c r="CR62">
        <v>-11.6</v>
      </c>
      <c r="CS62">
        <v>-11.1</v>
      </c>
      <c r="CT62">
        <v>-10.6</v>
      </c>
      <c r="CU62">
        <v>-10.199999999999999</v>
      </c>
      <c r="CV62">
        <v>-9.9</v>
      </c>
      <c r="CW62">
        <v>-9.64</v>
      </c>
      <c r="CX62">
        <v>-9.44</v>
      </c>
      <c r="CY62">
        <v>-9.2899999999999991</v>
      </c>
      <c r="CZ62">
        <v>-9.16</v>
      </c>
      <c r="DA62">
        <v>-9.02</v>
      </c>
      <c r="DB62">
        <v>-8.84</v>
      </c>
    </row>
    <row r="63" spans="1:106" x14ac:dyDescent="0.25">
      <c r="A63" s="18"/>
      <c r="B63" s="18"/>
    </row>
    <row r="64" spans="1:106" x14ac:dyDescent="0.25">
      <c r="A64" s="59">
        <v>3</v>
      </c>
      <c r="B64" s="59" t="s">
        <v>65</v>
      </c>
      <c r="C64" t="s">
        <v>52</v>
      </c>
      <c r="D64">
        <v>12</v>
      </c>
      <c r="E64" t="s">
        <v>2</v>
      </c>
      <c r="F64">
        <v>10.1</v>
      </c>
      <c r="G64">
        <v>10.1</v>
      </c>
      <c r="H64">
        <v>10</v>
      </c>
      <c r="I64">
        <v>9.99</v>
      </c>
      <c r="J64">
        <v>9.92</v>
      </c>
      <c r="K64">
        <v>9.84</v>
      </c>
      <c r="L64">
        <v>9.76</v>
      </c>
      <c r="M64">
        <v>9.68</v>
      </c>
      <c r="N64">
        <v>9.59</v>
      </c>
      <c r="O64">
        <v>9.51</v>
      </c>
      <c r="P64">
        <v>9.44</v>
      </c>
      <c r="Q64">
        <v>9.3800000000000008</v>
      </c>
      <c r="R64">
        <v>9.33</v>
      </c>
      <c r="S64">
        <v>9.3000000000000007</v>
      </c>
      <c r="T64">
        <v>9.2899999999999991</v>
      </c>
      <c r="U64">
        <v>9.2899999999999991</v>
      </c>
      <c r="V64">
        <v>9.31</v>
      </c>
      <c r="W64">
        <v>9.35</v>
      </c>
      <c r="X64">
        <v>9.41</v>
      </c>
      <c r="Y64">
        <v>9.48</v>
      </c>
      <c r="Z64">
        <v>9.56</v>
      </c>
      <c r="AA64">
        <v>9.64</v>
      </c>
      <c r="AB64">
        <v>9.7200000000000006</v>
      </c>
      <c r="AC64">
        <v>9.81</v>
      </c>
      <c r="AD64">
        <v>9.89</v>
      </c>
      <c r="AE64">
        <v>9.9600000000000009</v>
      </c>
      <c r="AF64">
        <v>10</v>
      </c>
      <c r="AG64">
        <v>10.1</v>
      </c>
      <c r="AH64">
        <v>10.1</v>
      </c>
      <c r="AI64">
        <v>10.1</v>
      </c>
      <c r="AJ64">
        <v>10.199999999999999</v>
      </c>
      <c r="AK64">
        <v>10.199999999999999</v>
      </c>
      <c r="AL64">
        <v>10.199999999999999</v>
      </c>
      <c r="AM64">
        <v>10.199999999999999</v>
      </c>
      <c r="AN64">
        <v>10.199999999999999</v>
      </c>
      <c r="AO64">
        <v>10.199999999999999</v>
      </c>
      <c r="AP64">
        <v>10.199999999999999</v>
      </c>
      <c r="AQ64">
        <v>10.199999999999999</v>
      </c>
      <c r="AR64">
        <v>10.199999999999999</v>
      </c>
      <c r="AS64">
        <v>10.199999999999999</v>
      </c>
      <c r="AT64">
        <v>10.199999999999999</v>
      </c>
      <c r="AU64">
        <v>10.199999999999999</v>
      </c>
      <c r="AV64">
        <v>10.3</v>
      </c>
      <c r="AW64">
        <v>10.3</v>
      </c>
      <c r="AX64">
        <v>10.3</v>
      </c>
      <c r="AY64">
        <v>10.3</v>
      </c>
      <c r="AZ64">
        <v>10.3</v>
      </c>
      <c r="BA64">
        <v>10.3</v>
      </c>
      <c r="BB64">
        <v>10.3</v>
      </c>
      <c r="BC64">
        <v>10.3</v>
      </c>
      <c r="BD64">
        <v>10.199999999999999</v>
      </c>
      <c r="BE64">
        <v>10.199999999999999</v>
      </c>
      <c r="BF64">
        <v>10.1</v>
      </c>
      <c r="BG64">
        <v>10</v>
      </c>
      <c r="BH64">
        <v>9.93</v>
      </c>
      <c r="BI64">
        <v>9.82</v>
      </c>
      <c r="BJ64">
        <v>9.7100000000000009</v>
      </c>
      <c r="BK64">
        <v>9.59</v>
      </c>
      <c r="BL64">
        <v>9.48</v>
      </c>
      <c r="BM64">
        <v>9.3800000000000008</v>
      </c>
      <c r="BN64">
        <v>9.2799999999999994</v>
      </c>
      <c r="BO64">
        <v>9.1999999999999993</v>
      </c>
      <c r="BP64">
        <v>9.1300000000000008</v>
      </c>
      <c r="BQ64">
        <v>9.08</v>
      </c>
      <c r="BR64">
        <v>9.0500000000000007</v>
      </c>
      <c r="BS64">
        <v>9.0399999999999991</v>
      </c>
      <c r="BT64">
        <v>9.0500000000000007</v>
      </c>
      <c r="BU64">
        <v>9.08</v>
      </c>
      <c r="BV64">
        <v>9.1199999999999992</v>
      </c>
      <c r="BW64">
        <v>9.17</v>
      </c>
      <c r="BX64">
        <v>9.23</v>
      </c>
      <c r="BY64">
        <v>9.3000000000000007</v>
      </c>
      <c r="BZ64">
        <v>9.36</v>
      </c>
      <c r="CA64">
        <v>9.43</v>
      </c>
      <c r="CB64">
        <v>9.49</v>
      </c>
      <c r="CC64">
        <v>9.5399999999999991</v>
      </c>
      <c r="CD64">
        <v>9.59</v>
      </c>
      <c r="CE64">
        <v>9.6300000000000008</v>
      </c>
      <c r="CF64">
        <v>9.67</v>
      </c>
      <c r="CG64">
        <v>9.69</v>
      </c>
      <c r="CH64">
        <v>9.7200000000000006</v>
      </c>
      <c r="CI64">
        <v>9.74</v>
      </c>
      <c r="CJ64">
        <v>9.76</v>
      </c>
      <c r="CK64">
        <v>9.7799999999999994</v>
      </c>
      <c r="CL64">
        <v>9.81</v>
      </c>
      <c r="CM64">
        <v>9.83</v>
      </c>
      <c r="CN64">
        <v>9.8699999999999992</v>
      </c>
      <c r="CO64">
        <v>9.9</v>
      </c>
      <c r="CP64">
        <v>9.94</v>
      </c>
      <c r="CQ64">
        <v>9.99</v>
      </c>
      <c r="CR64">
        <v>10</v>
      </c>
      <c r="CS64">
        <v>10.1</v>
      </c>
      <c r="CT64">
        <v>10.1</v>
      </c>
      <c r="CU64">
        <v>10.199999999999999</v>
      </c>
      <c r="CV64">
        <v>10.199999999999999</v>
      </c>
      <c r="CW64">
        <v>10.199999999999999</v>
      </c>
      <c r="CX64">
        <v>10.3</v>
      </c>
      <c r="CY64">
        <v>10.3</v>
      </c>
      <c r="CZ64">
        <v>10.3</v>
      </c>
      <c r="DA64">
        <v>10.3</v>
      </c>
      <c r="DB64">
        <v>10.3</v>
      </c>
    </row>
    <row r="65" spans="1:106" x14ac:dyDescent="0.25">
      <c r="A65" s="59"/>
      <c r="B65" s="59"/>
      <c r="C65" t="s">
        <v>53</v>
      </c>
      <c r="D65">
        <v>12</v>
      </c>
      <c r="E65" t="s">
        <v>2</v>
      </c>
      <c r="F65">
        <v>30.2</v>
      </c>
      <c r="G65">
        <v>30.1</v>
      </c>
      <c r="H65">
        <v>30</v>
      </c>
      <c r="I65">
        <v>29.8</v>
      </c>
      <c r="J65">
        <v>29.6</v>
      </c>
      <c r="K65">
        <v>29.3</v>
      </c>
      <c r="L65">
        <v>28.9</v>
      </c>
      <c r="M65">
        <v>28.4</v>
      </c>
      <c r="N65">
        <v>27.8</v>
      </c>
      <c r="O65">
        <v>27.1</v>
      </c>
      <c r="P65">
        <v>26.3</v>
      </c>
      <c r="Q65">
        <v>25.5</v>
      </c>
      <c r="R65">
        <v>24.6</v>
      </c>
      <c r="S65">
        <v>23.6</v>
      </c>
      <c r="T65">
        <v>22.6</v>
      </c>
      <c r="U65">
        <v>21.6</v>
      </c>
      <c r="V65">
        <v>20.5</v>
      </c>
      <c r="W65">
        <v>19.399999999999999</v>
      </c>
      <c r="X65">
        <v>18.2</v>
      </c>
      <c r="Y65">
        <v>17.100000000000001</v>
      </c>
      <c r="Z65">
        <v>15.9</v>
      </c>
      <c r="AA65">
        <v>14.8</v>
      </c>
      <c r="AB65">
        <v>13.6</v>
      </c>
      <c r="AC65">
        <v>12.5</v>
      </c>
      <c r="AD65">
        <v>11.4</v>
      </c>
      <c r="AE65">
        <v>10.3</v>
      </c>
      <c r="AF65">
        <v>9.2100000000000009</v>
      </c>
      <c r="AG65">
        <v>8.1300000000000008</v>
      </c>
      <c r="AH65">
        <v>7.06</v>
      </c>
      <c r="AI65">
        <v>5.99</v>
      </c>
      <c r="AJ65">
        <v>4.92</v>
      </c>
      <c r="AK65">
        <v>3.86</v>
      </c>
      <c r="AL65">
        <v>2.81</v>
      </c>
      <c r="AM65">
        <v>1.77</v>
      </c>
      <c r="AN65">
        <v>0.74</v>
      </c>
      <c r="AO65">
        <v>-0.27</v>
      </c>
      <c r="AP65">
        <v>-1.25</v>
      </c>
      <c r="AQ65">
        <v>-2.2200000000000002</v>
      </c>
      <c r="AR65">
        <v>-3.15</v>
      </c>
      <c r="AS65">
        <v>-4.05</v>
      </c>
      <c r="AT65">
        <v>-4.92</v>
      </c>
      <c r="AU65">
        <v>-5.74</v>
      </c>
      <c r="AV65">
        <v>-6.51</v>
      </c>
      <c r="AW65">
        <v>-7.22</v>
      </c>
      <c r="AX65">
        <v>-7.86</v>
      </c>
      <c r="AY65">
        <v>-8.43</v>
      </c>
      <c r="AZ65">
        <v>-8.89</v>
      </c>
      <c r="BA65">
        <v>-9.26</v>
      </c>
      <c r="BB65">
        <v>-9.5</v>
      </c>
      <c r="BC65">
        <v>-9.6199999999999992</v>
      </c>
      <c r="BD65">
        <v>-9.6</v>
      </c>
      <c r="BE65">
        <v>-9.43</v>
      </c>
      <c r="BF65">
        <v>-9.11</v>
      </c>
      <c r="BG65">
        <v>-8.6300000000000008</v>
      </c>
      <c r="BH65">
        <v>-7.99</v>
      </c>
      <c r="BI65">
        <v>-7.18</v>
      </c>
      <c r="BJ65">
        <v>-6.2</v>
      </c>
      <c r="BK65">
        <v>-5.05</v>
      </c>
      <c r="BL65">
        <v>-3.73</v>
      </c>
      <c r="BM65">
        <v>-2.2599999999999998</v>
      </c>
      <c r="BN65">
        <v>-0.64</v>
      </c>
      <c r="BO65">
        <v>1.1100000000000001</v>
      </c>
      <c r="BP65">
        <v>2.98</v>
      </c>
      <c r="BQ65">
        <v>4.9400000000000004</v>
      </c>
      <c r="BR65">
        <v>6.96</v>
      </c>
      <c r="BS65">
        <v>9.02</v>
      </c>
      <c r="BT65">
        <v>11.1</v>
      </c>
      <c r="BU65">
        <v>13.1</v>
      </c>
      <c r="BV65">
        <v>15.1</v>
      </c>
      <c r="BW65">
        <v>17.100000000000001</v>
      </c>
      <c r="BX65">
        <v>18.899999999999999</v>
      </c>
      <c r="BY65">
        <v>20.7</v>
      </c>
      <c r="BZ65">
        <v>22.3</v>
      </c>
      <c r="CA65">
        <v>23.8</v>
      </c>
      <c r="CB65">
        <v>25.2</v>
      </c>
      <c r="CC65">
        <v>26.4</v>
      </c>
      <c r="CD65">
        <v>27.5</v>
      </c>
      <c r="CE65">
        <v>28.5</v>
      </c>
      <c r="CF65">
        <v>29.3</v>
      </c>
      <c r="CG65">
        <v>30</v>
      </c>
      <c r="CH65">
        <v>30.6</v>
      </c>
      <c r="CI65">
        <v>31</v>
      </c>
      <c r="CJ65">
        <v>31.3</v>
      </c>
      <c r="CK65">
        <v>31.5</v>
      </c>
      <c r="CL65">
        <v>31.6</v>
      </c>
      <c r="CM65">
        <v>31.7</v>
      </c>
      <c r="CN65">
        <v>31.7</v>
      </c>
      <c r="CO65">
        <v>31.6</v>
      </c>
      <c r="CP65">
        <v>31.5</v>
      </c>
      <c r="CQ65">
        <v>31.4</v>
      </c>
      <c r="CR65">
        <v>31.3</v>
      </c>
      <c r="CS65">
        <v>31.1</v>
      </c>
      <c r="CT65">
        <v>31</v>
      </c>
      <c r="CU65">
        <v>30.8</v>
      </c>
      <c r="CV65">
        <v>30.7</v>
      </c>
      <c r="CW65">
        <v>30.5</v>
      </c>
      <c r="CX65">
        <v>30.4</v>
      </c>
      <c r="CY65">
        <v>30.3</v>
      </c>
      <c r="CZ65">
        <v>30.2</v>
      </c>
      <c r="DA65">
        <v>30.1</v>
      </c>
      <c r="DB65">
        <v>30</v>
      </c>
    </row>
    <row r="66" spans="1:106" x14ac:dyDescent="0.25">
      <c r="A66" s="59"/>
      <c r="B66" s="59"/>
      <c r="C66" t="s">
        <v>54</v>
      </c>
      <c r="D66">
        <v>12</v>
      </c>
      <c r="E66" t="s">
        <v>2</v>
      </c>
      <c r="F66">
        <v>3.02</v>
      </c>
      <c r="G66">
        <v>4.09</v>
      </c>
      <c r="H66">
        <v>5.34</v>
      </c>
      <c r="I66">
        <v>6.7</v>
      </c>
      <c r="J66">
        <v>8.1</v>
      </c>
      <c r="K66">
        <v>9.4700000000000006</v>
      </c>
      <c r="L66">
        <v>10.7</v>
      </c>
      <c r="M66">
        <v>11.9</v>
      </c>
      <c r="N66">
        <v>12.8</v>
      </c>
      <c r="O66">
        <v>13.5</v>
      </c>
      <c r="P66">
        <v>14.1</v>
      </c>
      <c r="Q66">
        <v>14.4</v>
      </c>
      <c r="R66">
        <v>14.6</v>
      </c>
      <c r="S66">
        <v>14.6</v>
      </c>
      <c r="T66">
        <v>14.4</v>
      </c>
      <c r="U66">
        <v>14.1</v>
      </c>
      <c r="V66">
        <v>13.6</v>
      </c>
      <c r="W66">
        <v>13.1</v>
      </c>
      <c r="X66">
        <v>12.5</v>
      </c>
      <c r="Y66">
        <v>11.8</v>
      </c>
      <c r="Z66">
        <v>11.1</v>
      </c>
      <c r="AA66">
        <v>10.4</v>
      </c>
      <c r="AB66">
        <v>9.73</v>
      </c>
      <c r="AC66">
        <v>9.07</v>
      </c>
      <c r="AD66">
        <v>8.42</v>
      </c>
      <c r="AE66">
        <v>7.81</v>
      </c>
      <c r="AF66">
        <v>7.22</v>
      </c>
      <c r="AG66">
        <v>6.65</v>
      </c>
      <c r="AH66">
        <v>6.12</v>
      </c>
      <c r="AI66">
        <v>5.61</v>
      </c>
      <c r="AJ66">
        <v>5.13</v>
      </c>
      <c r="AK66">
        <v>4.68</v>
      </c>
      <c r="AL66">
        <v>4.26</v>
      </c>
      <c r="AM66">
        <v>3.88</v>
      </c>
      <c r="AN66">
        <v>3.55</v>
      </c>
      <c r="AO66">
        <v>3.26</v>
      </c>
      <c r="AP66">
        <v>3.02</v>
      </c>
      <c r="AQ66">
        <v>2.84</v>
      </c>
      <c r="AR66">
        <v>2.73</v>
      </c>
      <c r="AS66">
        <v>2.7</v>
      </c>
      <c r="AT66">
        <v>2.75</v>
      </c>
      <c r="AU66">
        <v>2.9</v>
      </c>
      <c r="AV66">
        <v>3.17</v>
      </c>
      <c r="AW66">
        <v>3.55</v>
      </c>
      <c r="AX66">
        <v>4.08</v>
      </c>
      <c r="AY66">
        <v>4.7699999999999996</v>
      </c>
      <c r="AZ66">
        <v>5.63</v>
      </c>
      <c r="BA66">
        <v>6.68</v>
      </c>
      <c r="BB66">
        <v>7.93</v>
      </c>
      <c r="BC66">
        <v>9.39</v>
      </c>
      <c r="BD66">
        <v>11.1</v>
      </c>
      <c r="BE66">
        <v>12.9</v>
      </c>
      <c r="BF66">
        <v>15</v>
      </c>
      <c r="BG66">
        <v>17.3</v>
      </c>
      <c r="BH66">
        <v>19.8</v>
      </c>
      <c r="BI66">
        <v>22.5</v>
      </c>
      <c r="BJ66">
        <v>25.3</v>
      </c>
      <c r="BK66">
        <v>28.3</v>
      </c>
      <c r="BL66">
        <v>31.4</v>
      </c>
      <c r="BM66">
        <v>34.5</v>
      </c>
      <c r="BN66">
        <v>37.700000000000003</v>
      </c>
      <c r="BO66">
        <v>40.799999999999997</v>
      </c>
      <c r="BP66">
        <v>43.9</v>
      </c>
      <c r="BQ66">
        <v>46.8</v>
      </c>
      <c r="BR66">
        <v>49.5</v>
      </c>
      <c r="BS66">
        <v>51.8</v>
      </c>
      <c r="BT66">
        <v>53.9</v>
      </c>
      <c r="BU66">
        <v>55.6</v>
      </c>
      <c r="BV66">
        <v>57</v>
      </c>
      <c r="BW66">
        <v>57.9</v>
      </c>
      <c r="BX66">
        <v>58.4</v>
      </c>
      <c r="BY66">
        <v>58.6</v>
      </c>
      <c r="BZ66">
        <v>58.4</v>
      </c>
      <c r="CA66">
        <v>57.8</v>
      </c>
      <c r="CB66">
        <v>56.9</v>
      </c>
      <c r="CC66">
        <v>55.6</v>
      </c>
      <c r="CD66">
        <v>54</v>
      </c>
      <c r="CE66">
        <v>52</v>
      </c>
      <c r="CF66">
        <v>49.8</v>
      </c>
      <c r="CG66">
        <v>47.2</v>
      </c>
      <c r="CH66">
        <v>44.4</v>
      </c>
      <c r="CI66">
        <v>41.3</v>
      </c>
      <c r="CJ66">
        <v>38.1</v>
      </c>
      <c r="CK66">
        <v>34.6</v>
      </c>
      <c r="CL66">
        <v>31.1</v>
      </c>
      <c r="CM66">
        <v>27.4</v>
      </c>
      <c r="CN66">
        <v>23.8</v>
      </c>
      <c r="CO66">
        <v>20.2</v>
      </c>
      <c r="CP66">
        <v>16.8</v>
      </c>
      <c r="CQ66">
        <v>13.5</v>
      </c>
      <c r="CR66">
        <v>10.5</v>
      </c>
      <c r="CS66">
        <v>7.84</v>
      </c>
      <c r="CT66">
        <v>5.51</v>
      </c>
      <c r="CU66">
        <v>3.61</v>
      </c>
      <c r="CV66">
        <v>2.13</v>
      </c>
      <c r="CW66">
        <v>1.08</v>
      </c>
      <c r="CX66">
        <v>0.47</v>
      </c>
      <c r="CY66">
        <v>0.28999999999999998</v>
      </c>
      <c r="CZ66">
        <v>0.51</v>
      </c>
      <c r="DA66">
        <v>1.08</v>
      </c>
      <c r="DB66">
        <v>1.95</v>
      </c>
    </row>
    <row r="67" spans="1:106" x14ac:dyDescent="0.25">
      <c r="A67" s="59"/>
      <c r="B67" s="59"/>
      <c r="C67" t="s">
        <v>55</v>
      </c>
      <c r="D67">
        <v>12</v>
      </c>
      <c r="E67" t="s">
        <v>2</v>
      </c>
      <c r="F67">
        <v>-2.77</v>
      </c>
      <c r="G67">
        <v>-3.9</v>
      </c>
      <c r="H67">
        <v>-4.88</v>
      </c>
      <c r="I67">
        <v>-5.59</v>
      </c>
      <c r="J67">
        <v>-5.95</v>
      </c>
      <c r="K67">
        <v>-5.94</v>
      </c>
      <c r="L67">
        <v>-5.58</v>
      </c>
      <c r="M67">
        <v>-4.92</v>
      </c>
      <c r="N67">
        <v>-4.05</v>
      </c>
      <c r="O67">
        <v>-3.03</v>
      </c>
      <c r="P67">
        <v>-1.96</v>
      </c>
      <c r="Q67">
        <v>-0.9</v>
      </c>
      <c r="R67">
        <v>0.11</v>
      </c>
      <c r="S67">
        <v>1.05</v>
      </c>
      <c r="T67">
        <v>1.89</v>
      </c>
      <c r="U67">
        <v>2.63</v>
      </c>
      <c r="V67">
        <v>3.28</v>
      </c>
      <c r="W67">
        <v>3.85</v>
      </c>
      <c r="X67">
        <v>4.3600000000000003</v>
      </c>
      <c r="Y67">
        <v>4.82</v>
      </c>
      <c r="Z67">
        <v>5.24</v>
      </c>
      <c r="AA67">
        <v>5.65</v>
      </c>
      <c r="AB67">
        <v>6.03</v>
      </c>
      <c r="AC67">
        <v>6.41</v>
      </c>
      <c r="AD67">
        <v>6.77</v>
      </c>
      <c r="AE67">
        <v>7.13</v>
      </c>
      <c r="AF67">
        <v>7.48</v>
      </c>
      <c r="AG67">
        <v>7.83</v>
      </c>
      <c r="AH67">
        <v>8.16</v>
      </c>
      <c r="AI67">
        <v>8.49</v>
      </c>
      <c r="AJ67">
        <v>8.81</v>
      </c>
      <c r="AK67">
        <v>9.1300000000000008</v>
      </c>
      <c r="AL67">
        <v>9.44</v>
      </c>
      <c r="AM67">
        <v>9.74</v>
      </c>
      <c r="AN67">
        <v>10</v>
      </c>
      <c r="AO67">
        <v>10.3</v>
      </c>
      <c r="AP67">
        <v>10.6</v>
      </c>
      <c r="AQ67">
        <v>10.9</v>
      </c>
      <c r="AR67">
        <v>11.2</v>
      </c>
      <c r="AS67">
        <v>11.5</v>
      </c>
      <c r="AT67">
        <v>11.7</v>
      </c>
      <c r="AU67">
        <v>11.9</v>
      </c>
      <c r="AV67">
        <v>12.1</v>
      </c>
      <c r="AW67">
        <v>12.3</v>
      </c>
      <c r="AX67">
        <v>12.3</v>
      </c>
      <c r="AY67">
        <v>12.2</v>
      </c>
      <c r="AZ67">
        <v>12</v>
      </c>
      <c r="BA67">
        <v>11.5</v>
      </c>
      <c r="BB67">
        <v>10.8</v>
      </c>
      <c r="BC67">
        <v>9.7799999999999994</v>
      </c>
      <c r="BD67">
        <v>8.3800000000000008</v>
      </c>
      <c r="BE67">
        <v>6.58</v>
      </c>
      <c r="BF67">
        <v>4.37</v>
      </c>
      <c r="BG67">
        <v>1.77</v>
      </c>
      <c r="BH67">
        <v>-1.1299999999999999</v>
      </c>
      <c r="BI67">
        <v>-4.24</v>
      </c>
      <c r="BJ67">
        <v>-7.38</v>
      </c>
      <c r="BK67">
        <v>-10.4</v>
      </c>
      <c r="BL67">
        <v>-13.1</v>
      </c>
      <c r="BM67">
        <v>-15.4</v>
      </c>
      <c r="BN67">
        <v>-17.100000000000001</v>
      </c>
      <c r="BO67">
        <v>-18.100000000000001</v>
      </c>
      <c r="BP67">
        <v>-18.5</v>
      </c>
      <c r="BQ67">
        <v>-18.2</v>
      </c>
      <c r="BR67">
        <v>-17.5</v>
      </c>
      <c r="BS67">
        <v>-16.3</v>
      </c>
      <c r="BT67">
        <v>-14.8</v>
      </c>
      <c r="BU67">
        <v>-13.2</v>
      </c>
      <c r="BV67">
        <v>-11.5</v>
      </c>
      <c r="BW67">
        <v>-9.7799999999999994</v>
      </c>
      <c r="BX67">
        <v>-8.17</v>
      </c>
      <c r="BY67">
        <v>-6.67</v>
      </c>
      <c r="BZ67">
        <v>-5.32</v>
      </c>
      <c r="CA67">
        <v>-4.12</v>
      </c>
      <c r="CB67">
        <v>-3.07</v>
      </c>
      <c r="CC67">
        <v>-2.1800000000000002</v>
      </c>
      <c r="CD67">
        <v>-1.43</v>
      </c>
      <c r="CE67">
        <v>-0.84</v>
      </c>
      <c r="CF67">
        <v>-0.38</v>
      </c>
      <c r="CG67">
        <v>-6.7000000000000004E-2</v>
      </c>
      <c r="CH67">
        <v>0.12</v>
      </c>
      <c r="CI67">
        <v>0.18</v>
      </c>
      <c r="CJ67">
        <v>0.15</v>
      </c>
      <c r="CK67">
        <v>4.1000000000000002E-2</v>
      </c>
      <c r="CL67">
        <v>-0.12</v>
      </c>
      <c r="CM67">
        <v>-0.28000000000000003</v>
      </c>
      <c r="CN67">
        <v>-0.41</v>
      </c>
      <c r="CO67">
        <v>-0.49</v>
      </c>
      <c r="CP67">
        <v>-0.49</v>
      </c>
      <c r="CQ67">
        <v>-0.39</v>
      </c>
      <c r="CR67">
        <v>-0.22</v>
      </c>
      <c r="CS67">
        <v>-5.7000000000000002E-3</v>
      </c>
      <c r="CT67">
        <v>0.21</v>
      </c>
      <c r="CU67">
        <v>0.37</v>
      </c>
      <c r="CV67">
        <v>0.41</v>
      </c>
      <c r="CW67">
        <v>0.26</v>
      </c>
      <c r="CX67">
        <v>-0.11</v>
      </c>
      <c r="CY67">
        <v>-0.72</v>
      </c>
      <c r="CZ67">
        <v>-1.54</v>
      </c>
      <c r="DA67">
        <v>-2.5299999999999998</v>
      </c>
      <c r="DB67">
        <v>-3.6</v>
      </c>
    </row>
    <row r="68" spans="1:106" x14ac:dyDescent="0.25">
      <c r="A68" s="59"/>
      <c r="B68" s="59"/>
      <c r="C68" t="s">
        <v>56</v>
      </c>
      <c r="D68">
        <v>12</v>
      </c>
      <c r="E68" t="s">
        <v>2</v>
      </c>
      <c r="F68">
        <v>1.47</v>
      </c>
      <c r="G68">
        <v>1.68</v>
      </c>
      <c r="H68">
        <v>1.91</v>
      </c>
      <c r="I68">
        <v>2.16</v>
      </c>
      <c r="J68">
        <v>2.42</v>
      </c>
      <c r="K68">
        <v>2.69</v>
      </c>
      <c r="L68">
        <v>2.96</v>
      </c>
      <c r="M68">
        <v>3.23</v>
      </c>
      <c r="N68">
        <v>3.48</v>
      </c>
      <c r="O68">
        <v>3.71</v>
      </c>
      <c r="P68">
        <v>3.9</v>
      </c>
      <c r="Q68">
        <v>4.07</v>
      </c>
      <c r="R68">
        <v>4.1900000000000004</v>
      </c>
      <c r="S68">
        <v>4.26</v>
      </c>
      <c r="T68">
        <v>4.29</v>
      </c>
      <c r="U68">
        <v>4.2699999999999996</v>
      </c>
      <c r="V68">
        <v>4.2</v>
      </c>
      <c r="W68">
        <v>4.09</v>
      </c>
      <c r="X68">
        <v>3.93</v>
      </c>
      <c r="Y68">
        <v>3.74</v>
      </c>
      <c r="Z68">
        <v>3.51</v>
      </c>
      <c r="AA68">
        <v>3.26</v>
      </c>
      <c r="AB68">
        <v>2.99</v>
      </c>
      <c r="AC68">
        <v>2.7</v>
      </c>
      <c r="AD68">
        <v>2.4</v>
      </c>
      <c r="AE68">
        <v>2.11</v>
      </c>
      <c r="AF68">
        <v>1.82</v>
      </c>
      <c r="AG68">
        <v>1.54</v>
      </c>
      <c r="AH68">
        <v>1.28</v>
      </c>
      <c r="AI68">
        <v>1.04</v>
      </c>
      <c r="AJ68">
        <v>0.82</v>
      </c>
      <c r="AK68">
        <v>0.63</v>
      </c>
      <c r="AL68">
        <v>0.47</v>
      </c>
      <c r="AM68">
        <v>0.34</v>
      </c>
      <c r="AN68">
        <v>0.24</v>
      </c>
      <c r="AO68">
        <v>0.16</v>
      </c>
      <c r="AP68">
        <v>0.1</v>
      </c>
      <c r="AQ68">
        <v>6.4000000000000001E-2</v>
      </c>
      <c r="AR68">
        <v>3.7999999999999999E-2</v>
      </c>
      <c r="AS68">
        <v>0.02</v>
      </c>
      <c r="AT68">
        <v>2.7000000000000001E-3</v>
      </c>
      <c r="AU68">
        <v>-1.7000000000000001E-2</v>
      </c>
      <c r="AV68">
        <v>-4.5999999999999999E-2</v>
      </c>
      <c r="AW68">
        <v>-8.6999999999999994E-2</v>
      </c>
      <c r="AX68">
        <v>-0.14000000000000001</v>
      </c>
      <c r="AY68">
        <v>-0.22</v>
      </c>
      <c r="AZ68">
        <v>-0.32</v>
      </c>
      <c r="BA68">
        <v>-0.44</v>
      </c>
      <c r="BB68">
        <v>-0.59</v>
      </c>
      <c r="BC68">
        <v>-0.76</v>
      </c>
      <c r="BD68">
        <v>-0.95</v>
      </c>
      <c r="BE68">
        <v>-1.17</v>
      </c>
      <c r="BF68">
        <v>-1.41</v>
      </c>
      <c r="BG68">
        <v>-1.66</v>
      </c>
      <c r="BH68">
        <v>-1.92</v>
      </c>
      <c r="BI68">
        <v>-2.19</v>
      </c>
      <c r="BJ68">
        <v>-2.46</v>
      </c>
      <c r="BK68">
        <v>-2.73</v>
      </c>
      <c r="BL68">
        <v>-2.98</v>
      </c>
      <c r="BM68">
        <v>-3.2</v>
      </c>
      <c r="BN68">
        <v>-3.4</v>
      </c>
      <c r="BO68">
        <v>-3.57</v>
      </c>
      <c r="BP68">
        <v>-3.69</v>
      </c>
      <c r="BQ68">
        <v>-3.77</v>
      </c>
      <c r="BR68">
        <v>-3.8</v>
      </c>
      <c r="BS68">
        <v>-3.78</v>
      </c>
      <c r="BT68">
        <v>-3.72</v>
      </c>
      <c r="BU68">
        <v>-3.61</v>
      </c>
      <c r="BV68">
        <v>-3.45</v>
      </c>
      <c r="BW68">
        <v>-3.26</v>
      </c>
      <c r="BX68">
        <v>-3.03</v>
      </c>
      <c r="BY68">
        <v>-2.77</v>
      </c>
      <c r="BZ68">
        <v>-2.48</v>
      </c>
      <c r="CA68">
        <v>-2.1800000000000002</v>
      </c>
      <c r="CB68">
        <v>-1.87</v>
      </c>
      <c r="CC68">
        <v>-1.55</v>
      </c>
      <c r="CD68">
        <v>-1.24</v>
      </c>
      <c r="CE68">
        <v>-0.93</v>
      </c>
      <c r="CF68">
        <v>-0.64</v>
      </c>
      <c r="CG68">
        <v>-0.37</v>
      </c>
      <c r="CH68">
        <v>-0.13</v>
      </c>
      <c r="CI68">
        <v>8.5999999999999993E-2</v>
      </c>
      <c r="CJ68">
        <v>0.27</v>
      </c>
      <c r="CK68">
        <v>0.42</v>
      </c>
      <c r="CL68">
        <v>0.55000000000000004</v>
      </c>
      <c r="CM68">
        <v>0.64</v>
      </c>
      <c r="CN68">
        <v>0.7</v>
      </c>
      <c r="CO68">
        <v>0.75</v>
      </c>
      <c r="CP68">
        <v>0.77</v>
      </c>
      <c r="CQ68">
        <v>0.78</v>
      </c>
      <c r="CR68">
        <v>0.79</v>
      </c>
      <c r="CS68">
        <v>0.8</v>
      </c>
      <c r="CT68">
        <v>0.81</v>
      </c>
      <c r="CU68">
        <v>0.83</v>
      </c>
      <c r="CV68">
        <v>0.87</v>
      </c>
      <c r="CW68">
        <v>0.93</v>
      </c>
      <c r="CX68">
        <v>1.01</v>
      </c>
      <c r="CY68">
        <v>1.1200000000000001</v>
      </c>
      <c r="CZ68">
        <v>1.25</v>
      </c>
      <c r="DA68">
        <v>1.42</v>
      </c>
      <c r="DB68">
        <v>1.61</v>
      </c>
    </row>
    <row r="69" spans="1:106" x14ac:dyDescent="0.25">
      <c r="A69" s="59"/>
      <c r="B69" s="59"/>
      <c r="C69" t="s">
        <v>57</v>
      </c>
      <c r="D69">
        <v>12</v>
      </c>
      <c r="E69" t="s">
        <v>2</v>
      </c>
      <c r="F69">
        <v>-1.5</v>
      </c>
      <c r="G69">
        <v>-1.03</v>
      </c>
      <c r="H69">
        <v>-0.52</v>
      </c>
      <c r="I69">
        <v>3.2000000000000001E-2</v>
      </c>
      <c r="J69">
        <v>0.61</v>
      </c>
      <c r="K69">
        <v>1.2</v>
      </c>
      <c r="L69">
        <v>1.79</v>
      </c>
      <c r="M69">
        <v>2.37</v>
      </c>
      <c r="N69">
        <v>2.93</v>
      </c>
      <c r="O69">
        <v>3.45</v>
      </c>
      <c r="P69">
        <v>3.93</v>
      </c>
      <c r="Q69">
        <v>4.3499999999999996</v>
      </c>
      <c r="R69">
        <v>4.7300000000000004</v>
      </c>
      <c r="S69">
        <v>5.04</v>
      </c>
      <c r="T69">
        <v>5.29</v>
      </c>
      <c r="U69">
        <v>5.47</v>
      </c>
      <c r="V69">
        <v>5.59</v>
      </c>
      <c r="W69">
        <v>5.65</v>
      </c>
      <c r="X69">
        <v>5.65</v>
      </c>
      <c r="Y69">
        <v>5.61</v>
      </c>
      <c r="Z69">
        <v>5.53</v>
      </c>
      <c r="AA69">
        <v>5.42</v>
      </c>
      <c r="AB69">
        <v>5.29</v>
      </c>
      <c r="AC69">
        <v>5.14</v>
      </c>
      <c r="AD69">
        <v>4.9800000000000004</v>
      </c>
      <c r="AE69">
        <v>4.8099999999999996</v>
      </c>
      <c r="AF69">
        <v>4.6500000000000004</v>
      </c>
      <c r="AG69">
        <v>4.49</v>
      </c>
      <c r="AH69">
        <v>4.34</v>
      </c>
      <c r="AI69">
        <v>4.2</v>
      </c>
      <c r="AJ69">
        <v>4.07</v>
      </c>
      <c r="AK69">
        <v>3.96</v>
      </c>
      <c r="AL69">
        <v>3.86</v>
      </c>
      <c r="AM69">
        <v>3.77</v>
      </c>
      <c r="AN69">
        <v>3.69</v>
      </c>
      <c r="AO69">
        <v>3.63</v>
      </c>
      <c r="AP69">
        <v>3.56</v>
      </c>
      <c r="AQ69">
        <v>3.49</v>
      </c>
      <c r="AR69">
        <v>3.42</v>
      </c>
      <c r="AS69">
        <v>3.33</v>
      </c>
      <c r="AT69">
        <v>3.22</v>
      </c>
      <c r="AU69">
        <v>3.09</v>
      </c>
      <c r="AV69">
        <v>2.93</v>
      </c>
      <c r="AW69">
        <v>2.74</v>
      </c>
      <c r="AX69">
        <v>2.5299999999999998</v>
      </c>
      <c r="AY69">
        <v>2.2799999999999998</v>
      </c>
      <c r="AZ69">
        <v>2</v>
      </c>
      <c r="BA69">
        <v>1.68</v>
      </c>
      <c r="BB69">
        <v>1.33</v>
      </c>
      <c r="BC69">
        <v>0.94</v>
      </c>
      <c r="BD69">
        <v>0.52</v>
      </c>
      <c r="BE69">
        <v>7.0000000000000007E-2</v>
      </c>
      <c r="BF69">
        <v>-0.42</v>
      </c>
      <c r="BG69">
        <v>-0.93</v>
      </c>
      <c r="BH69">
        <v>-1.48</v>
      </c>
      <c r="BI69">
        <v>-2.0299999999999998</v>
      </c>
      <c r="BJ69">
        <v>-2.6</v>
      </c>
      <c r="BK69">
        <v>-3.16</v>
      </c>
      <c r="BL69">
        <v>-3.7</v>
      </c>
      <c r="BM69">
        <v>-4.2</v>
      </c>
      <c r="BN69">
        <v>-4.66</v>
      </c>
      <c r="BO69">
        <v>-5.04</v>
      </c>
      <c r="BP69">
        <v>-5.35</v>
      </c>
      <c r="BQ69">
        <v>-5.58</v>
      </c>
      <c r="BR69">
        <v>-5.72</v>
      </c>
      <c r="BS69">
        <v>-5.77</v>
      </c>
      <c r="BT69">
        <v>-5.74</v>
      </c>
      <c r="BU69">
        <v>-5.63</v>
      </c>
      <c r="BV69">
        <v>-5.44</v>
      </c>
      <c r="BW69">
        <v>-5.19</v>
      </c>
      <c r="BX69">
        <v>-4.8899999999999997</v>
      </c>
      <c r="BY69">
        <v>-4.55</v>
      </c>
      <c r="BZ69">
        <v>-4.1900000000000004</v>
      </c>
      <c r="CA69">
        <v>-3.82</v>
      </c>
      <c r="CB69">
        <v>-3.44</v>
      </c>
      <c r="CC69">
        <v>-3.09</v>
      </c>
      <c r="CD69">
        <v>-2.76</v>
      </c>
      <c r="CE69">
        <v>-2.46</v>
      </c>
      <c r="CF69">
        <v>-2.21</v>
      </c>
      <c r="CG69">
        <v>-2</v>
      </c>
      <c r="CH69">
        <v>-1.84</v>
      </c>
      <c r="CI69">
        <v>-1.72</v>
      </c>
      <c r="CJ69">
        <v>-1.66</v>
      </c>
      <c r="CK69">
        <v>-1.63</v>
      </c>
      <c r="CL69">
        <v>-1.65</v>
      </c>
      <c r="CM69">
        <v>-1.7</v>
      </c>
      <c r="CN69">
        <v>-1.78</v>
      </c>
      <c r="CO69">
        <v>-1.89</v>
      </c>
      <c r="CP69">
        <v>-2.0099999999999998</v>
      </c>
      <c r="CQ69">
        <v>-2.14</v>
      </c>
      <c r="CR69">
        <v>-2.27</v>
      </c>
      <c r="CS69">
        <v>-2.38</v>
      </c>
      <c r="CT69">
        <v>-2.46</v>
      </c>
      <c r="CU69">
        <v>-2.48</v>
      </c>
      <c r="CV69">
        <v>-2.4500000000000002</v>
      </c>
      <c r="CW69">
        <v>-2.34</v>
      </c>
      <c r="CX69">
        <v>-2.17</v>
      </c>
      <c r="CY69">
        <v>-1.92</v>
      </c>
      <c r="CZ69">
        <v>-1.61</v>
      </c>
      <c r="DA69">
        <v>-1.23</v>
      </c>
      <c r="DB69">
        <v>-0.8</v>
      </c>
    </row>
    <row r="70" spans="1:106" x14ac:dyDescent="0.25">
      <c r="A70" s="59"/>
      <c r="B70" s="59"/>
      <c r="C70" t="s">
        <v>58</v>
      </c>
      <c r="D70">
        <v>12</v>
      </c>
      <c r="E70" t="s">
        <v>2</v>
      </c>
      <c r="F70">
        <v>-1.6</v>
      </c>
      <c r="G70">
        <v>-1.72</v>
      </c>
      <c r="H70">
        <v>-1.81</v>
      </c>
      <c r="I70">
        <v>-1.85</v>
      </c>
      <c r="J70">
        <v>-1.82</v>
      </c>
      <c r="K70">
        <v>-1.7</v>
      </c>
      <c r="L70">
        <v>-1.51</v>
      </c>
      <c r="M70">
        <v>-1.26</v>
      </c>
      <c r="N70">
        <v>-1</v>
      </c>
      <c r="O70">
        <v>-0.77</v>
      </c>
      <c r="P70">
        <v>-0.6</v>
      </c>
      <c r="Q70">
        <v>-0.51</v>
      </c>
      <c r="R70">
        <v>-0.5</v>
      </c>
      <c r="S70">
        <v>-0.56000000000000005</v>
      </c>
      <c r="T70">
        <v>-0.67</v>
      </c>
      <c r="U70">
        <v>-0.8</v>
      </c>
      <c r="V70">
        <v>-0.92</v>
      </c>
      <c r="W70">
        <v>-1.02</v>
      </c>
      <c r="X70">
        <v>-1.0900000000000001</v>
      </c>
      <c r="Y70">
        <v>-1.1399999999999999</v>
      </c>
      <c r="Z70">
        <v>-1.17</v>
      </c>
      <c r="AA70">
        <v>-1.19</v>
      </c>
      <c r="AB70">
        <v>-1.2</v>
      </c>
      <c r="AC70">
        <v>-1.21</v>
      </c>
      <c r="AD70">
        <v>-1.21</v>
      </c>
      <c r="AE70">
        <v>-1.21</v>
      </c>
      <c r="AF70">
        <v>-1.21</v>
      </c>
      <c r="AG70">
        <v>-1.2</v>
      </c>
      <c r="AH70">
        <v>-1.19</v>
      </c>
      <c r="AI70">
        <v>-1.17</v>
      </c>
      <c r="AJ70">
        <v>-1.1499999999999999</v>
      </c>
      <c r="AK70">
        <v>-1.1200000000000001</v>
      </c>
      <c r="AL70">
        <v>-1.1000000000000001</v>
      </c>
      <c r="AM70">
        <v>-1.08</v>
      </c>
      <c r="AN70">
        <v>-1.06</v>
      </c>
      <c r="AO70">
        <v>-1.05</v>
      </c>
      <c r="AP70">
        <v>-1.04</v>
      </c>
      <c r="AQ70">
        <v>-1.04</v>
      </c>
      <c r="AR70">
        <v>-1.05</v>
      </c>
      <c r="AS70">
        <v>-1.06</v>
      </c>
      <c r="AT70">
        <v>-1.08</v>
      </c>
      <c r="AU70">
        <v>-1.1000000000000001</v>
      </c>
      <c r="AV70">
        <v>-1.1299999999999999</v>
      </c>
      <c r="AW70">
        <v>-1.1499999999999999</v>
      </c>
      <c r="AX70">
        <v>-1.18</v>
      </c>
      <c r="AY70">
        <v>-1.21</v>
      </c>
      <c r="AZ70">
        <v>-1.23</v>
      </c>
      <c r="BA70">
        <v>-1.24</v>
      </c>
      <c r="BB70">
        <v>-1.24</v>
      </c>
      <c r="BC70">
        <v>-1.22</v>
      </c>
      <c r="BD70">
        <v>-1.17</v>
      </c>
      <c r="BE70">
        <v>-1.08</v>
      </c>
      <c r="BF70">
        <v>-0.94</v>
      </c>
      <c r="BG70">
        <v>-0.76</v>
      </c>
      <c r="BH70">
        <v>-0.51</v>
      </c>
      <c r="BI70">
        <v>-0.22</v>
      </c>
      <c r="BJ70">
        <v>0.1</v>
      </c>
      <c r="BK70">
        <v>0.41</v>
      </c>
      <c r="BL70">
        <v>0.66</v>
      </c>
      <c r="BM70">
        <v>0.81</v>
      </c>
      <c r="BN70">
        <v>0.81</v>
      </c>
      <c r="BO70">
        <v>0.63</v>
      </c>
      <c r="BP70">
        <v>0.26</v>
      </c>
      <c r="BQ70">
        <v>-0.28999999999999998</v>
      </c>
      <c r="BR70">
        <v>-0.97</v>
      </c>
      <c r="BS70">
        <v>-1.72</v>
      </c>
      <c r="BT70">
        <v>-2.4700000000000002</v>
      </c>
      <c r="BU70">
        <v>-3.14</v>
      </c>
      <c r="BV70">
        <v>-3.68</v>
      </c>
      <c r="BW70">
        <v>-4.03</v>
      </c>
      <c r="BX70">
        <v>-4.16</v>
      </c>
      <c r="BY70">
        <v>-4.08</v>
      </c>
      <c r="BZ70">
        <v>-3.81</v>
      </c>
      <c r="CA70">
        <v>-3.36</v>
      </c>
      <c r="CB70">
        <v>-2.79</v>
      </c>
      <c r="CC70">
        <v>-2.14</v>
      </c>
      <c r="CD70">
        <v>-1.45</v>
      </c>
      <c r="CE70">
        <v>-0.77</v>
      </c>
      <c r="CF70">
        <v>-0.15</v>
      </c>
      <c r="CG70">
        <v>0.37</v>
      </c>
      <c r="CH70">
        <v>0.75</v>
      </c>
      <c r="CI70">
        <v>0.97</v>
      </c>
      <c r="CJ70">
        <v>1.01</v>
      </c>
      <c r="CK70">
        <v>0.87</v>
      </c>
      <c r="CL70">
        <v>0.56000000000000005</v>
      </c>
      <c r="CM70">
        <v>0.13</v>
      </c>
      <c r="CN70">
        <v>-0.35</v>
      </c>
      <c r="CO70">
        <v>-0.82</v>
      </c>
      <c r="CP70">
        <v>-1.2</v>
      </c>
      <c r="CQ70">
        <v>-1.46</v>
      </c>
      <c r="CR70">
        <v>-1.56</v>
      </c>
      <c r="CS70">
        <v>-1.53</v>
      </c>
      <c r="CT70">
        <v>-1.41</v>
      </c>
      <c r="CU70">
        <v>-1.24</v>
      </c>
      <c r="CV70">
        <v>-1.08</v>
      </c>
      <c r="CW70">
        <v>-0.97</v>
      </c>
      <c r="CX70">
        <v>-0.92</v>
      </c>
      <c r="CY70">
        <v>-0.95</v>
      </c>
      <c r="CZ70">
        <v>-1.03</v>
      </c>
      <c r="DA70">
        <v>-1.1499999999999999</v>
      </c>
      <c r="DB70">
        <v>-1.27</v>
      </c>
    </row>
    <row r="71" spans="1:106" x14ac:dyDescent="0.25">
      <c r="A71" s="59"/>
      <c r="B71" s="59"/>
      <c r="C71" t="s">
        <v>59</v>
      </c>
      <c r="D71">
        <v>12</v>
      </c>
      <c r="E71" t="s">
        <v>2</v>
      </c>
      <c r="F71">
        <v>7.66</v>
      </c>
      <c r="G71">
        <v>7.61</v>
      </c>
      <c r="H71">
        <v>7.51</v>
      </c>
      <c r="I71">
        <v>7.38</v>
      </c>
      <c r="J71">
        <v>7.22</v>
      </c>
      <c r="K71">
        <v>7.04</v>
      </c>
      <c r="L71">
        <v>6.84</v>
      </c>
      <c r="M71">
        <v>6.65</v>
      </c>
      <c r="N71">
        <v>6.45</v>
      </c>
      <c r="O71">
        <v>6.26</v>
      </c>
      <c r="P71">
        <v>6.09</v>
      </c>
      <c r="Q71">
        <v>5.93</v>
      </c>
      <c r="R71">
        <v>5.79</v>
      </c>
      <c r="S71">
        <v>5.66</v>
      </c>
      <c r="T71">
        <v>5.55</v>
      </c>
      <c r="U71">
        <v>5.45</v>
      </c>
      <c r="V71">
        <v>5.35</v>
      </c>
      <c r="W71">
        <v>5.25</v>
      </c>
      <c r="X71">
        <v>5.15</v>
      </c>
      <c r="Y71">
        <v>5.04</v>
      </c>
      <c r="Z71">
        <v>4.92</v>
      </c>
      <c r="AA71">
        <v>4.78</v>
      </c>
      <c r="AB71">
        <v>4.62</v>
      </c>
      <c r="AC71">
        <v>4.43</v>
      </c>
      <c r="AD71">
        <v>4.22</v>
      </c>
      <c r="AE71">
        <v>3.97</v>
      </c>
      <c r="AF71">
        <v>3.7</v>
      </c>
      <c r="AG71">
        <v>3.39</v>
      </c>
      <c r="AH71">
        <v>3.06</v>
      </c>
      <c r="AI71">
        <v>2.69</v>
      </c>
      <c r="AJ71">
        <v>2.29</v>
      </c>
      <c r="AK71">
        <v>1.87</v>
      </c>
      <c r="AL71">
        <v>1.42</v>
      </c>
      <c r="AM71">
        <v>0.95</v>
      </c>
      <c r="AN71">
        <v>0.46</v>
      </c>
      <c r="AO71">
        <v>-0.03</v>
      </c>
      <c r="AP71">
        <v>-0.53</v>
      </c>
      <c r="AQ71">
        <v>-1.02</v>
      </c>
      <c r="AR71">
        <v>-1.51</v>
      </c>
      <c r="AS71">
        <v>-1.98</v>
      </c>
      <c r="AT71">
        <v>-2.4300000000000002</v>
      </c>
      <c r="AU71">
        <v>-2.84</v>
      </c>
      <c r="AV71">
        <v>-3.22</v>
      </c>
      <c r="AW71">
        <v>-3.56</v>
      </c>
      <c r="AX71">
        <v>-3.85</v>
      </c>
      <c r="AY71">
        <v>-4.0999999999999996</v>
      </c>
      <c r="AZ71">
        <v>-4.29</v>
      </c>
      <c r="BA71">
        <v>-4.43</v>
      </c>
      <c r="BB71">
        <v>-4.51</v>
      </c>
      <c r="BC71">
        <v>-4.55</v>
      </c>
      <c r="BD71">
        <v>-4.54</v>
      </c>
      <c r="BE71">
        <v>-4.4800000000000004</v>
      </c>
      <c r="BF71">
        <v>-4.3899999999999997</v>
      </c>
      <c r="BG71">
        <v>-4.28</v>
      </c>
      <c r="BH71">
        <v>-4.13</v>
      </c>
      <c r="BI71">
        <v>-3.98</v>
      </c>
      <c r="BJ71">
        <v>-3.82</v>
      </c>
      <c r="BK71">
        <v>-3.65</v>
      </c>
      <c r="BL71">
        <v>-3.5</v>
      </c>
      <c r="BM71">
        <v>-3.35</v>
      </c>
      <c r="BN71">
        <v>-3.22</v>
      </c>
      <c r="BO71">
        <v>-3.1</v>
      </c>
      <c r="BP71">
        <v>-3</v>
      </c>
      <c r="BQ71">
        <v>-2.9</v>
      </c>
      <c r="BR71">
        <v>-2.82</v>
      </c>
      <c r="BS71">
        <v>-2.75</v>
      </c>
      <c r="BT71">
        <v>-2.67</v>
      </c>
      <c r="BU71">
        <v>-2.6</v>
      </c>
      <c r="BV71">
        <v>-2.5099999999999998</v>
      </c>
      <c r="BW71">
        <v>-2.41</v>
      </c>
      <c r="BX71">
        <v>-2.2999999999999998</v>
      </c>
      <c r="BY71">
        <v>-2.16</v>
      </c>
      <c r="BZ71">
        <v>-2</v>
      </c>
      <c r="CA71">
        <v>-1.82</v>
      </c>
      <c r="CB71">
        <v>-1.6</v>
      </c>
      <c r="CC71">
        <v>-1.36</v>
      </c>
      <c r="CD71">
        <v>-1.08</v>
      </c>
      <c r="CE71">
        <v>-0.77</v>
      </c>
      <c r="CF71">
        <v>-0.44</v>
      </c>
      <c r="CG71">
        <v>-7.4999999999999997E-2</v>
      </c>
      <c r="CH71">
        <v>0.31</v>
      </c>
      <c r="CI71">
        <v>0.73</v>
      </c>
      <c r="CJ71">
        <v>1.1599999999999999</v>
      </c>
      <c r="CK71">
        <v>1.6</v>
      </c>
      <c r="CL71">
        <v>2.06</v>
      </c>
      <c r="CM71">
        <v>2.52</v>
      </c>
      <c r="CN71">
        <v>2.99</v>
      </c>
      <c r="CO71">
        <v>3.44</v>
      </c>
      <c r="CP71">
        <v>3.89</v>
      </c>
      <c r="CQ71">
        <v>4.32</v>
      </c>
      <c r="CR71">
        <v>4.72</v>
      </c>
      <c r="CS71">
        <v>5.09</v>
      </c>
      <c r="CT71">
        <v>5.43</v>
      </c>
      <c r="CU71">
        <v>5.73</v>
      </c>
      <c r="CV71">
        <v>5.98</v>
      </c>
      <c r="CW71">
        <v>6.18</v>
      </c>
      <c r="CX71">
        <v>6.34</v>
      </c>
      <c r="CY71">
        <v>6.44</v>
      </c>
      <c r="CZ71">
        <v>6.49</v>
      </c>
      <c r="DA71">
        <v>6.5</v>
      </c>
      <c r="DB71">
        <v>6.46</v>
      </c>
    </row>
    <row r="72" spans="1:106" x14ac:dyDescent="0.25">
      <c r="A72" s="59"/>
      <c r="B72" s="59"/>
      <c r="C72" t="s">
        <v>60</v>
      </c>
      <c r="D72">
        <v>12</v>
      </c>
      <c r="E72" t="s">
        <v>2</v>
      </c>
      <c r="F72">
        <v>-13</v>
      </c>
      <c r="G72">
        <v>-12</v>
      </c>
      <c r="H72">
        <v>-10.9</v>
      </c>
      <c r="I72">
        <v>-9.7100000000000009</v>
      </c>
      <c r="J72">
        <v>-8.4</v>
      </c>
      <c r="K72">
        <v>-7.02</v>
      </c>
      <c r="L72">
        <v>-5.62</v>
      </c>
      <c r="M72">
        <v>-4.26</v>
      </c>
      <c r="N72">
        <v>-3.03</v>
      </c>
      <c r="O72">
        <v>-2.04</v>
      </c>
      <c r="P72">
        <v>-1.34</v>
      </c>
      <c r="Q72">
        <v>-0.96</v>
      </c>
      <c r="R72">
        <v>-0.87</v>
      </c>
      <c r="S72">
        <v>-1.03</v>
      </c>
      <c r="T72">
        <v>-1.35</v>
      </c>
      <c r="U72">
        <v>-1.74</v>
      </c>
      <c r="V72">
        <v>-2.1</v>
      </c>
      <c r="W72">
        <v>-2.39</v>
      </c>
      <c r="X72">
        <v>-2.56</v>
      </c>
      <c r="Y72">
        <v>-2.62</v>
      </c>
      <c r="Z72">
        <v>-2.58</v>
      </c>
      <c r="AA72">
        <v>-2.4500000000000002</v>
      </c>
      <c r="AB72">
        <v>-2.2599999999999998</v>
      </c>
      <c r="AC72">
        <v>-2.02</v>
      </c>
      <c r="AD72">
        <v>-1.74</v>
      </c>
      <c r="AE72">
        <v>-1.43</v>
      </c>
      <c r="AF72">
        <v>-1.06</v>
      </c>
      <c r="AG72">
        <v>-0.65</v>
      </c>
      <c r="AH72">
        <v>-0.19</v>
      </c>
      <c r="AI72">
        <v>0.32</v>
      </c>
      <c r="AJ72">
        <v>0.86</v>
      </c>
      <c r="AK72">
        <v>1.43</v>
      </c>
      <c r="AL72">
        <v>1.99</v>
      </c>
      <c r="AM72">
        <v>2.52</v>
      </c>
      <c r="AN72">
        <v>3</v>
      </c>
      <c r="AO72">
        <v>3.42</v>
      </c>
      <c r="AP72">
        <v>3.76</v>
      </c>
      <c r="AQ72">
        <v>4.0199999999999996</v>
      </c>
      <c r="AR72">
        <v>4.21</v>
      </c>
      <c r="AS72">
        <v>4.32</v>
      </c>
      <c r="AT72">
        <v>4.3600000000000003</v>
      </c>
      <c r="AU72">
        <v>4.3600000000000003</v>
      </c>
      <c r="AV72">
        <v>4.3</v>
      </c>
      <c r="AW72">
        <v>4.21</v>
      </c>
      <c r="AX72">
        <v>4.08</v>
      </c>
      <c r="AY72">
        <v>3.92</v>
      </c>
      <c r="AZ72">
        <v>3.73</v>
      </c>
      <c r="BA72">
        <v>3.52</v>
      </c>
      <c r="BB72">
        <v>3.3</v>
      </c>
      <c r="BC72">
        <v>3.09</v>
      </c>
      <c r="BD72">
        <v>2.89</v>
      </c>
      <c r="BE72">
        <v>2.73</v>
      </c>
      <c r="BF72">
        <v>2.62</v>
      </c>
      <c r="BG72">
        <v>2.57</v>
      </c>
      <c r="BH72">
        <v>2.56</v>
      </c>
      <c r="BI72">
        <v>2.58</v>
      </c>
      <c r="BJ72">
        <v>2.6</v>
      </c>
      <c r="BK72">
        <v>2.58</v>
      </c>
      <c r="BL72">
        <v>2.48</v>
      </c>
      <c r="BM72">
        <v>2.2599999999999998</v>
      </c>
      <c r="BN72">
        <v>1.91</v>
      </c>
      <c r="BO72">
        <v>1.4</v>
      </c>
      <c r="BP72">
        <v>0.76</v>
      </c>
      <c r="BQ72">
        <v>5.1000000000000004E-3</v>
      </c>
      <c r="BR72">
        <v>-0.82</v>
      </c>
      <c r="BS72">
        <v>-1.65</v>
      </c>
      <c r="BT72">
        <v>-2.4300000000000002</v>
      </c>
      <c r="BU72">
        <v>-3.1</v>
      </c>
      <c r="BV72">
        <v>-3.62</v>
      </c>
      <c r="BW72">
        <v>-3.95</v>
      </c>
      <c r="BX72">
        <v>-4.07</v>
      </c>
      <c r="BY72">
        <v>-3.99</v>
      </c>
      <c r="BZ72">
        <v>-3.74</v>
      </c>
      <c r="CA72">
        <v>-3.33</v>
      </c>
      <c r="CB72">
        <v>-2.81</v>
      </c>
      <c r="CC72">
        <v>-2.2200000000000002</v>
      </c>
      <c r="CD72">
        <v>-1.59</v>
      </c>
      <c r="CE72">
        <v>-0.96</v>
      </c>
      <c r="CF72">
        <v>-0.37</v>
      </c>
      <c r="CG72">
        <v>0.14000000000000001</v>
      </c>
      <c r="CH72">
        <v>0.53</v>
      </c>
      <c r="CI72">
        <v>0.77</v>
      </c>
      <c r="CJ72">
        <v>0.8</v>
      </c>
      <c r="CK72">
        <v>0.59</v>
      </c>
      <c r="CL72">
        <v>9.6000000000000002E-2</v>
      </c>
      <c r="CM72">
        <v>-0.71</v>
      </c>
      <c r="CN72">
        <v>-1.83</v>
      </c>
      <c r="CO72">
        <v>-3.23</v>
      </c>
      <c r="CP72">
        <v>-4.8499999999999996</v>
      </c>
      <c r="CQ72">
        <v>-6.6</v>
      </c>
      <c r="CR72">
        <v>-8.3699999999999992</v>
      </c>
      <c r="CS72">
        <v>-10</v>
      </c>
      <c r="CT72">
        <v>-11.5</v>
      </c>
      <c r="CU72">
        <v>-12.7</v>
      </c>
      <c r="CV72">
        <v>-13.4</v>
      </c>
      <c r="CW72">
        <v>-13.9</v>
      </c>
      <c r="CX72">
        <v>-13.9</v>
      </c>
      <c r="CY72">
        <v>-13.6</v>
      </c>
      <c r="CZ72">
        <v>-13</v>
      </c>
      <c r="DA72">
        <v>-12.2</v>
      </c>
      <c r="DB72">
        <v>-11.2</v>
      </c>
    </row>
    <row r="73" spans="1:106" x14ac:dyDescent="0.25">
      <c r="A73" s="59"/>
      <c r="B73" s="59"/>
      <c r="C73" t="s">
        <v>61</v>
      </c>
      <c r="D73">
        <v>12</v>
      </c>
      <c r="E73" t="s">
        <v>2</v>
      </c>
      <c r="F73">
        <v>5.43</v>
      </c>
      <c r="G73">
        <v>5.23</v>
      </c>
      <c r="H73">
        <v>5.24</v>
      </c>
      <c r="I73">
        <v>5.45</v>
      </c>
      <c r="J73">
        <v>5.83</v>
      </c>
      <c r="K73">
        <v>6.32</v>
      </c>
      <c r="L73">
        <v>6.83</v>
      </c>
      <c r="M73">
        <v>7.29</v>
      </c>
      <c r="N73">
        <v>7.65</v>
      </c>
      <c r="O73">
        <v>7.89</v>
      </c>
      <c r="P73">
        <v>8</v>
      </c>
      <c r="Q73">
        <v>8.01</v>
      </c>
      <c r="R73">
        <v>7.92</v>
      </c>
      <c r="S73">
        <v>7.75</v>
      </c>
      <c r="T73">
        <v>7.54</v>
      </c>
      <c r="U73">
        <v>7.29</v>
      </c>
      <c r="V73">
        <v>7.04</v>
      </c>
      <c r="W73">
        <v>6.81</v>
      </c>
      <c r="X73">
        <v>6.62</v>
      </c>
      <c r="Y73">
        <v>6.47</v>
      </c>
      <c r="Z73">
        <v>6.38</v>
      </c>
      <c r="AA73">
        <v>6.32</v>
      </c>
      <c r="AB73">
        <v>6.29</v>
      </c>
      <c r="AC73">
        <v>6.25</v>
      </c>
      <c r="AD73">
        <v>6.19</v>
      </c>
      <c r="AE73">
        <v>6.09</v>
      </c>
      <c r="AF73">
        <v>5.94</v>
      </c>
      <c r="AG73">
        <v>5.74</v>
      </c>
      <c r="AH73">
        <v>5.5</v>
      </c>
      <c r="AI73">
        <v>5.23</v>
      </c>
      <c r="AJ73">
        <v>4.9400000000000004</v>
      </c>
      <c r="AK73">
        <v>4.6500000000000004</v>
      </c>
      <c r="AL73">
        <v>4.3600000000000003</v>
      </c>
      <c r="AM73">
        <v>4.0999999999999996</v>
      </c>
      <c r="AN73">
        <v>3.87</v>
      </c>
      <c r="AO73">
        <v>3.69</v>
      </c>
      <c r="AP73">
        <v>3.57</v>
      </c>
      <c r="AQ73">
        <v>3.51</v>
      </c>
      <c r="AR73">
        <v>3.51</v>
      </c>
      <c r="AS73">
        <v>3.57</v>
      </c>
      <c r="AT73">
        <v>3.69</v>
      </c>
      <c r="AU73">
        <v>3.85</v>
      </c>
      <c r="AV73">
        <v>4.04</v>
      </c>
      <c r="AW73">
        <v>4.25</v>
      </c>
      <c r="AX73">
        <v>4.45</v>
      </c>
      <c r="AY73">
        <v>4.62</v>
      </c>
      <c r="AZ73">
        <v>4.74</v>
      </c>
      <c r="BA73">
        <v>4.79</v>
      </c>
      <c r="BB73">
        <v>4.76</v>
      </c>
      <c r="BC73">
        <v>4.63</v>
      </c>
      <c r="BD73">
        <v>4.42</v>
      </c>
      <c r="BE73">
        <v>4.12</v>
      </c>
      <c r="BF73">
        <v>3.77</v>
      </c>
      <c r="BG73">
        <v>3.42</v>
      </c>
      <c r="BH73">
        <v>3.11</v>
      </c>
      <c r="BI73">
        <v>2.93</v>
      </c>
      <c r="BJ73">
        <v>2.93</v>
      </c>
      <c r="BK73">
        <v>3.17</v>
      </c>
      <c r="BL73">
        <v>3.67</v>
      </c>
      <c r="BM73">
        <v>4.43</v>
      </c>
      <c r="BN73">
        <v>5.43</v>
      </c>
      <c r="BO73">
        <v>6.62</v>
      </c>
      <c r="BP73">
        <v>7.9</v>
      </c>
      <c r="BQ73">
        <v>9.16</v>
      </c>
      <c r="BR73">
        <v>10.3</v>
      </c>
      <c r="BS73">
        <v>11.3</v>
      </c>
      <c r="BT73">
        <v>12</v>
      </c>
      <c r="BU73">
        <v>12.5</v>
      </c>
      <c r="BV73">
        <v>12.6</v>
      </c>
      <c r="BW73">
        <v>12.6</v>
      </c>
      <c r="BX73">
        <v>12.3</v>
      </c>
      <c r="BY73">
        <v>11.8</v>
      </c>
      <c r="BZ73">
        <v>11.2</v>
      </c>
      <c r="CA73">
        <v>10.4</v>
      </c>
      <c r="CB73">
        <v>9.59</v>
      </c>
      <c r="CC73">
        <v>8.6999999999999993</v>
      </c>
      <c r="CD73">
        <v>7.78</v>
      </c>
      <c r="CE73">
        <v>6.83</v>
      </c>
      <c r="CF73">
        <v>5.89</v>
      </c>
      <c r="CG73">
        <v>4.96</v>
      </c>
      <c r="CH73">
        <v>4.05</v>
      </c>
      <c r="CI73">
        <v>3.2</v>
      </c>
      <c r="CJ73">
        <v>2.44</v>
      </c>
      <c r="CK73">
        <v>1.8</v>
      </c>
      <c r="CL73">
        <v>1.35</v>
      </c>
      <c r="CM73">
        <v>1.1399999999999999</v>
      </c>
      <c r="CN73">
        <v>1.2</v>
      </c>
      <c r="CO73">
        <v>1.53</v>
      </c>
      <c r="CP73">
        <v>2.1</v>
      </c>
      <c r="CQ73">
        <v>2.86</v>
      </c>
      <c r="CR73">
        <v>3.72</v>
      </c>
      <c r="CS73">
        <v>4.57</v>
      </c>
      <c r="CT73">
        <v>5.32</v>
      </c>
      <c r="CU73">
        <v>5.87</v>
      </c>
      <c r="CV73">
        <v>6.19</v>
      </c>
      <c r="CW73">
        <v>6.26</v>
      </c>
      <c r="CX73">
        <v>6.1</v>
      </c>
      <c r="CY73">
        <v>5.76</v>
      </c>
      <c r="CZ73">
        <v>5.35</v>
      </c>
      <c r="DA73">
        <v>4.9400000000000004</v>
      </c>
      <c r="DB73">
        <v>4.6399999999999997</v>
      </c>
    </row>
    <row r="74" spans="1:106" x14ac:dyDescent="0.25">
      <c r="A74" s="59"/>
      <c r="B74" s="59"/>
      <c r="C74" t="s">
        <v>62</v>
      </c>
      <c r="D74">
        <v>12</v>
      </c>
      <c r="E74" t="s">
        <v>2</v>
      </c>
      <c r="F74">
        <v>9.82</v>
      </c>
      <c r="G74">
        <v>9.0500000000000007</v>
      </c>
      <c r="H74">
        <v>7.99</v>
      </c>
      <c r="I74">
        <v>6.67</v>
      </c>
      <c r="J74">
        <v>5.14</v>
      </c>
      <c r="K74">
        <v>3.48</v>
      </c>
      <c r="L74">
        <v>1.79</v>
      </c>
      <c r="M74">
        <v>0.19</v>
      </c>
      <c r="N74">
        <v>-1.2</v>
      </c>
      <c r="O74">
        <v>-2.29</v>
      </c>
      <c r="P74">
        <v>-3.01</v>
      </c>
      <c r="Q74">
        <v>-3.35</v>
      </c>
      <c r="R74">
        <v>-3.34</v>
      </c>
      <c r="S74">
        <v>-3.02</v>
      </c>
      <c r="T74">
        <v>-2.4900000000000002</v>
      </c>
      <c r="U74">
        <v>-1.86</v>
      </c>
      <c r="V74">
        <v>-1.2</v>
      </c>
      <c r="W74">
        <v>-0.6</v>
      </c>
      <c r="X74">
        <v>-0.12</v>
      </c>
      <c r="Y74">
        <v>0.23</v>
      </c>
      <c r="Z74">
        <v>0.45</v>
      </c>
      <c r="AA74">
        <v>0.57999999999999996</v>
      </c>
      <c r="AB74">
        <v>0.64</v>
      </c>
      <c r="AC74">
        <v>0.67</v>
      </c>
      <c r="AD74">
        <v>0.69</v>
      </c>
      <c r="AE74">
        <v>0.72</v>
      </c>
      <c r="AF74">
        <v>0.76</v>
      </c>
      <c r="AG74">
        <v>0.79</v>
      </c>
      <c r="AH74">
        <v>0.83</v>
      </c>
      <c r="AI74">
        <v>0.84</v>
      </c>
      <c r="AJ74">
        <v>0.85</v>
      </c>
      <c r="AK74">
        <v>0.83</v>
      </c>
      <c r="AL74">
        <v>0.82</v>
      </c>
      <c r="AM74">
        <v>0.81</v>
      </c>
      <c r="AN74">
        <v>0.81</v>
      </c>
      <c r="AO74">
        <v>0.84</v>
      </c>
      <c r="AP74">
        <v>0.89</v>
      </c>
      <c r="AQ74">
        <v>0.98</v>
      </c>
      <c r="AR74">
        <v>1.0900000000000001</v>
      </c>
      <c r="AS74">
        <v>1.22</v>
      </c>
      <c r="AT74">
        <v>1.37</v>
      </c>
      <c r="AU74">
        <v>1.54</v>
      </c>
      <c r="AV74">
        <v>1.73</v>
      </c>
      <c r="AW74">
        <v>1.96</v>
      </c>
      <c r="AX74">
        <v>2.23</v>
      </c>
      <c r="AY74">
        <v>2.56</v>
      </c>
      <c r="AZ74">
        <v>2.97</v>
      </c>
      <c r="BA74">
        <v>3.47</v>
      </c>
      <c r="BB74">
        <v>4.07</v>
      </c>
      <c r="BC74">
        <v>4.78</v>
      </c>
      <c r="BD74">
        <v>5.57</v>
      </c>
      <c r="BE74">
        <v>6.44</v>
      </c>
      <c r="BF74">
        <v>7.35</v>
      </c>
      <c r="BG74">
        <v>8.24</v>
      </c>
      <c r="BH74">
        <v>9.06</v>
      </c>
      <c r="BI74">
        <v>9.73</v>
      </c>
      <c r="BJ74">
        <v>10.199999999999999</v>
      </c>
      <c r="BK74">
        <v>10.4</v>
      </c>
      <c r="BL74">
        <v>10.3</v>
      </c>
      <c r="BM74">
        <v>9.94</v>
      </c>
      <c r="BN74">
        <v>9.2799999999999994</v>
      </c>
      <c r="BO74">
        <v>8.34</v>
      </c>
      <c r="BP74">
        <v>7.21</v>
      </c>
      <c r="BQ74">
        <v>5.95</v>
      </c>
      <c r="BR74">
        <v>4.6399999999999997</v>
      </c>
      <c r="BS74">
        <v>3.35</v>
      </c>
      <c r="BT74">
        <v>2.13</v>
      </c>
      <c r="BU74">
        <v>1.04</v>
      </c>
      <c r="BV74">
        <v>0.1</v>
      </c>
      <c r="BW74">
        <v>-0.64</v>
      </c>
      <c r="BX74">
        <v>-1.2</v>
      </c>
      <c r="BY74">
        <v>-1.59</v>
      </c>
      <c r="BZ74">
        <v>-1.84</v>
      </c>
      <c r="CA74">
        <v>-1.98</v>
      </c>
      <c r="CB74">
        <v>-2.0499999999999998</v>
      </c>
      <c r="CC74">
        <v>-2.09</v>
      </c>
      <c r="CD74">
        <v>-2.1</v>
      </c>
      <c r="CE74">
        <v>-2.12</v>
      </c>
      <c r="CF74">
        <v>-2.13</v>
      </c>
      <c r="CG74">
        <v>-2.11</v>
      </c>
      <c r="CH74">
        <v>-2.0499999999999998</v>
      </c>
      <c r="CI74">
        <v>-1.9</v>
      </c>
      <c r="CJ74">
        <v>-1.63</v>
      </c>
      <c r="CK74">
        <v>-1.19</v>
      </c>
      <c r="CL74">
        <v>-0.57999999999999996</v>
      </c>
      <c r="CM74">
        <v>0.22</v>
      </c>
      <c r="CN74">
        <v>1.21</v>
      </c>
      <c r="CO74">
        <v>2.33</v>
      </c>
      <c r="CP74">
        <v>3.56</v>
      </c>
      <c r="CQ74">
        <v>4.82</v>
      </c>
      <c r="CR74">
        <v>6.07</v>
      </c>
      <c r="CS74">
        <v>7.23</v>
      </c>
      <c r="CT74">
        <v>8.27</v>
      </c>
      <c r="CU74">
        <v>9.1300000000000008</v>
      </c>
      <c r="CV74">
        <v>9.7899999999999991</v>
      </c>
      <c r="CW74">
        <v>10.199999999999999</v>
      </c>
      <c r="CX74">
        <v>10.5</v>
      </c>
      <c r="CY74">
        <v>10.5</v>
      </c>
      <c r="CZ74">
        <v>10.3</v>
      </c>
      <c r="DA74">
        <v>9.85</v>
      </c>
      <c r="DB74">
        <v>9.1300000000000008</v>
      </c>
    </row>
    <row r="75" spans="1:106" x14ac:dyDescent="0.25">
      <c r="A75" s="59"/>
      <c r="B75" s="59"/>
      <c r="C75" t="s">
        <v>63</v>
      </c>
      <c r="D75">
        <v>12</v>
      </c>
      <c r="E75" t="s">
        <v>2</v>
      </c>
      <c r="F75">
        <v>-7.63</v>
      </c>
      <c r="G75">
        <v>-7.49</v>
      </c>
      <c r="H75">
        <v>-7.32</v>
      </c>
      <c r="I75">
        <v>-7.11</v>
      </c>
      <c r="J75">
        <v>-6.87</v>
      </c>
      <c r="K75">
        <v>-6.62</v>
      </c>
      <c r="L75">
        <v>-6.38</v>
      </c>
      <c r="M75">
        <v>-6.17</v>
      </c>
      <c r="N75">
        <v>-6.01</v>
      </c>
      <c r="O75">
        <v>-5.92</v>
      </c>
      <c r="P75">
        <v>-5.89</v>
      </c>
      <c r="Q75">
        <v>-5.92</v>
      </c>
      <c r="R75">
        <v>-6</v>
      </c>
      <c r="S75">
        <v>-6.1</v>
      </c>
      <c r="T75">
        <v>-6.23</v>
      </c>
      <c r="U75">
        <v>-6.36</v>
      </c>
      <c r="V75">
        <v>-6.48</v>
      </c>
      <c r="W75">
        <v>-6.59</v>
      </c>
      <c r="X75">
        <v>-6.69</v>
      </c>
      <c r="Y75">
        <v>-6.79</v>
      </c>
      <c r="Z75">
        <v>-6.88</v>
      </c>
      <c r="AA75">
        <v>-6.97</v>
      </c>
      <c r="AB75">
        <v>-7.05</v>
      </c>
      <c r="AC75">
        <v>-7.15</v>
      </c>
      <c r="AD75">
        <v>-7.25</v>
      </c>
      <c r="AE75">
        <v>-7.37</v>
      </c>
      <c r="AF75">
        <v>-7.51</v>
      </c>
      <c r="AG75">
        <v>-7.67</v>
      </c>
      <c r="AH75">
        <v>-7.84</v>
      </c>
      <c r="AI75">
        <v>-8.0299999999999994</v>
      </c>
      <c r="AJ75">
        <v>-8.24</v>
      </c>
      <c r="AK75">
        <v>-8.4700000000000006</v>
      </c>
      <c r="AL75">
        <v>-8.7100000000000009</v>
      </c>
      <c r="AM75">
        <v>-8.9600000000000009</v>
      </c>
      <c r="AN75">
        <v>-9.2200000000000006</v>
      </c>
      <c r="AO75">
        <v>-9.4700000000000006</v>
      </c>
      <c r="AP75">
        <v>-9.7100000000000009</v>
      </c>
      <c r="AQ75">
        <v>-9.94</v>
      </c>
      <c r="AR75">
        <v>-10.1</v>
      </c>
      <c r="AS75">
        <v>-10.3</v>
      </c>
      <c r="AT75">
        <v>-10.4</v>
      </c>
      <c r="AU75">
        <v>-10.5</v>
      </c>
      <c r="AV75">
        <v>-10.5</v>
      </c>
      <c r="AW75">
        <v>-10.4</v>
      </c>
      <c r="AX75">
        <v>-10.3</v>
      </c>
      <c r="AY75">
        <v>-10.1</v>
      </c>
      <c r="AZ75">
        <v>-9.85</v>
      </c>
      <c r="BA75">
        <v>-9.5500000000000007</v>
      </c>
      <c r="BB75">
        <v>-9.18</v>
      </c>
      <c r="BC75">
        <v>-8.75</v>
      </c>
      <c r="BD75">
        <v>-8.26</v>
      </c>
      <c r="BE75">
        <v>-7.71</v>
      </c>
      <c r="BF75">
        <v>-7.11</v>
      </c>
      <c r="BG75">
        <v>-6.47</v>
      </c>
      <c r="BH75">
        <v>-5.82</v>
      </c>
      <c r="BI75">
        <v>-5.18</v>
      </c>
      <c r="BJ75">
        <v>-4.58</v>
      </c>
      <c r="BK75">
        <v>-4.09</v>
      </c>
      <c r="BL75">
        <v>-3.73</v>
      </c>
      <c r="BM75">
        <v>-3.54</v>
      </c>
      <c r="BN75">
        <v>-3.56</v>
      </c>
      <c r="BO75">
        <v>-3.82</v>
      </c>
      <c r="BP75">
        <v>-4.3</v>
      </c>
      <c r="BQ75">
        <v>-5</v>
      </c>
      <c r="BR75">
        <v>-5.87</v>
      </c>
      <c r="BS75">
        <v>-6.88</v>
      </c>
      <c r="BT75">
        <v>-7.96</v>
      </c>
      <c r="BU75">
        <v>-9.06</v>
      </c>
      <c r="BV75">
        <v>-10.1</v>
      </c>
      <c r="BW75">
        <v>-11.1</v>
      </c>
      <c r="BX75">
        <v>-12</v>
      </c>
      <c r="BY75">
        <v>-12.8</v>
      </c>
      <c r="BZ75">
        <v>-13.4</v>
      </c>
      <c r="CA75">
        <v>-14</v>
      </c>
      <c r="CB75">
        <v>-14.4</v>
      </c>
      <c r="CC75">
        <v>-14.8</v>
      </c>
      <c r="CD75">
        <v>-15.1</v>
      </c>
      <c r="CE75">
        <v>-15.3</v>
      </c>
      <c r="CF75">
        <v>-15.5</v>
      </c>
      <c r="CG75">
        <v>-15.6</v>
      </c>
      <c r="CH75">
        <v>-15.7</v>
      </c>
      <c r="CI75">
        <v>-15.6</v>
      </c>
      <c r="CJ75">
        <v>-15.5</v>
      </c>
      <c r="CK75">
        <v>-15.3</v>
      </c>
      <c r="CL75">
        <v>-15</v>
      </c>
      <c r="CM75">
        <v>-14.6</v>
      </c>
      <c r="CN75">
        <v>-14.1</v>
      </c>
      <c r="CO75">
        <v>-13.5</v>
      </c>
      <c r="CP75">
        <v>-12.8</v>
      </c>
      <c r="CQ75">
        <v>-12.1</v>
      </c>
      <c r="CR75">
        <v>-11.4</v>
      </c>
      <c r="CS75">
        <v>-10.7</v>
      </c>
      <c r="CT75">
        <v>-10.1</v>
      </c>
      <c r="CU75">
        <v>-9.5500000000000007</v>
      </c>
      <c r="CV75">
        <v>-9.1300000000000008</v>
      </c>
      <c r="CW75">
        <v>-8.82</v>
      </c>
      <c r="CX75">
        <v>-8.6</v>
      </c>
      <c r="CY75">
        <v>-8.4700000000000006</v>
      </c>
      <c r="CZ75">
        <v>-8.3800000000000008</v>
      </c>
      <c r="DA75">
        <v>-8.31</v>
      </c>
      <c r="DB75">
        <v>-8.2200000000000006</v>
      </c>
    </row>
    <row r="76" spans="1:106" x14ac:dyDescent="0.25">
      <c r="A76" s="18"/>
      <c r="B76" s="18"/>
    </row>
    <row r="77" spans="1:106" x14ac:dyDescent="0.25">
      <c r="A77" s="59">
        <v>4</v>
      </c>
      <c r="B77" s="59" t="s">
        <v>66</v>
      </c>
      <c r="C77" t="s">
        <v>52</v>
      </c>
      <c r="D77">
        <v>9</v>
      </c>
      <c r="E77" t="s">
        <v>2</v>
      </c>
      <c r="F77">
        <v>7.93</v>
      </c>
      <c r="G77">
        <v>7.77</v>
      </c>
      <c r="H77">
        <v>7.61</v>
      </c>
      <c r="I77">
        <v>7.46</v>
      </c>
      <c r="J77">
        <v>7.31</v>
      </c>
      <c r="K77">
        <v>7.18</v>
      </c>
      <c r="L77">
        <v>7.07</v>
      </c>
      <c r="M77">
        <v>6.97</v>
      </c>
      <c r="N77">
        <v>6.89</v>
      </c>
      <c r="O77">
        <v>6.85</v>
      </c>
      <c r="P77">
        <v>6.82</v>
      </c>
      <c r="Q77">
        <v>6.83</v>
      </c>
      <c r="R77">
        <v>6.87</v>
      </c>
      <c r="S77">
        <v>6.93</v>
      </c>
      <c r="T77">
        <v>7.01</v>
      </c>
      <c r="U77">
        <v>7.12</v>
      </c>
      <c r="V77">
        <v>7.25</v>
      </c>
      <c r="W77">
        <v>7.4</v>
      </c>
      <c r="X77">
        <v>7.55</v>
      </c>
      <c r="Y77">
        <v>7.71</v>
      </c>
      <c r="Z77">
        <v>7.88</v>
      </c>
      <c r="AA77">
        <v>8.0399999999999991</v>
      </c>
      <c r="AB77">
        <v>8.1999999999999993</v>
      </c>
      <c r="AC77">
        <v>8.35</v>
      </c>
      <c r="AD77">
        <v>8.48</v>
      </c>
      <c r="AE77">
        <v>8.61</v>
      </c>
      <c r="AF77">
        <v>8.7100000000000009</v>
      </c>
      <c r="AG77">
        <v>8.8000000000000007</v>
      </c>
      <c r="AH77">
        <v>8.8800000000000008</v>
      </c>
      <c r="AI77">
        <v>8.93</v>
      </c>
      <c r="AJ77">
        <v>8.98</v>
      </c>
      <c r="AK77">
        <v>9.01</v>
      </c>
      <c r="AL77">
        <v>9.0299999999999994</v>
      </c>
      <c r="AM77">
        <v>9.0399999999999991</v>
      </c>
      <c r="AN77">
        <v>9.0399999999999991</v>
      </c>
      <c r="AO77">
        <v>9.0399999999999991</v>
      </c>
      <c r="AP77">
        <v>9.0299999999999994</v>
      </c>
      <c r="AQ77">
        <v>9.02</v>
      </c>
      <c r="AR77">
        <v>9</v>
      </c>
      <c r="AS77">
        <v>8.98</v>
      </c>
      <c r="AT77">
        <v>8.9600000000000009</v>
      </c>
      <c r="AU77">
        <v>8.93</v>
      </c>
      <c r="AV77">
        <v>8.9</v>
      </c>
      <c r="AW77">
        <v>8.8699999999999992</v>
      </c>
      <c r="AX77">
        <v>8.83</v>
      </c>
      <c r="AY77">
        <v>8.7799999999999994</v>
      </c>
      <c r="AZ77">
        <v>8.7200000000000006</v>
      </c>
      <c r="BA77">
        <v>8.65</v>
      </c>
      <c r="BB77">
        <v>8.57</v>
      </c>
      <c r="BC77">
        <v>8.48</v>
      </c>
      <c r="BD77">
        <v>8.3800000000000008</v>
      </c>
      <c r="BE77">
        <v>8.27</v>
      </c>
      <c r="BF77">
        <v>8.16</v>
      </c>
      <c r="BG77">
        <v>8.0399999999999991</v>
      </c>
      <c r="BH77">
        <v>7.92</v>
      </c>
      <c r="BI77">
        <v>7.81</v>
      </c>
      <c r="BJ77">
        <v>7.7</v>
      </c>
      <c r="BK77">
        <v>7.61</v>
      </c>
      <c r="BL77">
        <v>7.53</v>
      </c>
      <c r="BM77">
        <v>7.47</v>
      </c>
      <c r="BN77">
        <v>7.44</v>
      </c>
      <c r="BO77">
        <v>7.43</v>
      </c>
      <c r="BP77">
        <v>7.45</v>
      </c>
      <c r="BQ77">
        <v>7.49</v>
      </c>
      <c r="BR77">
        <v>7.55</v>
      </c>
      <c r="BS77">
        <v>7.62</v>
      </c>
      <c r="BT77">
        <v>7.72</v>
      </c>
      <c r="BU77">
        <v>7.82</v>
      </c>
      <c r="BV77">
        <v>7.93</v>
      </c>
      <c r="BW77">
        <v>8.0500000000000007</v>
      </c>
      <c r="BX77">
        <v>8.16</v>
      </c>
      <c r="BY77">
        <v>8.27</v>
      </c>
      <c r="BZ77">
        <v>8.3699999999999992</v>
      </c>
      <c r="CA77">
        <v>8.4600000000000009</v>
      </c>
      <c r="CB77">
        <v>8.5500000000000007</v>
      </c>
      <c r="CC77">
        <v>8.6199999999999992</v>
      </c>
      <c r="CD77">
        <v>8.67</v>
      </c>
      <c r="CE77">
        <v>8.7200000000000006</v>
      </c>
      <c r="CF77">
        <v>8.76</v>
      </c>
      <c r="CG77">
        <v>8.7899999999999991</v>
      </c>
      <c r="CH77">
        <v>8.82</v>
      </c>
      <c r="CI77">
        <v>8.85</v>
      </c>
      <c r="CJ77">
        <v>8.8699999999999992</v>
      </c>
      <c r="CK77">
        <v>8.89</v>
      </c>
      <c r="CL77">
        <v>8.92</v>
      </c>
      <c r="CM77">
        <v>8.94</v>
      </c>
      <c r="CN77">
        <v>8.9700000000000006</v>
      </c>
      <c r="CO77">
        <v>8.99</v>
      </c>
      <c r="CP77">
        <v>9.01</v>
      </c>
      <c r="CQ77">
        <v>9.02</v>
      </c>
      <c r="CR77">
        <v>9.0299999999999994</v>
      </c>
      <c r="CS77">
        <v>9.02</v>
      </c>
      <c r="CT77">
        <v>9</v>
      </c>
      <c r="CU77">
        <v>8.9700000000000006</v>
      </c>
      <c r="CV77">
        <v>8.92</v>
      </c>
      <c r="CW77">
        <v>8.86</v>
      </c>
      <c r="CX77">
        <v>8.77</v>
      </c>
      <c r="CY77">
        <v>8.67</v>
      </c>
      <c r="CZ77">
        <v>8.56</v>
      </c>
      <c r="DA77">
        <v>8.43</v>
      </c>
      <c r="DB77">
        <v>8.2799999999999994</v>
      </c>
    </row>
    <row r="78" spans="1:106" x14ac:dyDescent="0.25">
      <c r="A78" s="59"/>
      <c r="B78" s="59"/>
      <c r="C78" t="s">
        <v>53</v>
      </c>
      <c r="D78">
        <v>9</v>
      </c>
      <c r="E78" t="s">
        <v>2</v>
      </c>
      <c r="F78">
        <v>33.799999999999997</v>
      </c>
      <c r="G78">
        <v>33.9</v>
      </c>
      <c r="H78">
        <v>34</v>
      </c>
      <c r="I78">
        <v>34</v>
      </c>
      <c r="J78">
        <v>33.9</v>
      </c>
      <c r="K78">
        <v>33.700000000000003</v>
      </c>
      <c r="L78">
        <v>33.4</v>
      </c>
      <c r="M78">
        <v>32.9</v>
      </c>
      <c r="N78">
        <v>32.4</v>
      </c>
      <c r="O78">
        <v>31.7</v>
      </c>
      <c r="P78">
        <v>30.9</v>
      </c>
      <c r="Q78">
        <v>30.1</v>
      </c>
      <c r="R78">
        <v>29.2</v>
      </c>
      <c r="S78">
        <v>28.1</v>
      </c>
      <c r="T78">
        <v>27</v>
      </c>
      <c r="U78">
        <v>25.9</v>
      </c>
      <c r="V78">
        <v>24.6</v>
      </c>
      <c r="W78">
        <v>23.2</v>
      </c>
      <c r="X78">
        <v>21.8</v>
      </c>
      <c r="Y78">
        <v>20.399999999999999</v>
      </c>
      <c r="Z78">
        <v>18.899999999999999</v>
      </c>
      <c r="AA78">
        <v>17.5</v>
      </c>
      <c r="AB78">
        <v>16</v>
      </c>
      <c r="AC78">
        <v>14.6</v>
      </c>
      <c r="AD78">
        <v>13.2</v>
      </c>
      <c r="AE78">
        <v>11.9</v>
      </c>
      <c r="AF78">
        <v>10.5</v>
      </c>
      <c r="AG78">
        <v>9.2200000000000006</v>
      </c>
      <c r="AH78">
        <v>7.91</v>
      </c>
      <c r="AI78">
        <v>6.6</v>
      </c>
      <c r="AJ78">
        <v>5.29</v>
      </c>
      <c r="AK78">
        <v>3.98</v>
      </c>
      <c r="AL78">
        <v>2.67</v>
      </c>
      <c r="AM78">
        <v>1.36</v>
      </c>
      <c r="AN78">
        <v>6.2E-2</v>
      </c>
      <c r="AO78">
        <v>-1.22</v>
      </c>
      <c r="AP78">
        <v>-2.48</v>
      </c>
      <c r="AQ78">
        <v>-3.72</v>
      </c>
      <c r="AR78">
        <v>-4.92</v>
      </c>
      <c r="AS78">
        <v>-6.08</v>
      </c>
      <c r="AT78">
        <v>-7.2</v>
      </c>
      <c r="AU78">
        <v>-8.27</v>
      </c>
      <c r="AV78">
        <v>-9.2899999999999991</v>
      </c>
      <c r="AW78">
        <v>-10.3</v>
      </c>
      <c r="AX78">
        <v>-11.1</v>
      </c>
      <c r="AY78">
        <v>-11.9</v>
      </c>
      <c r="AZ78">
        <v>-12.6</v>
      </c>
      <c r="BA78">
        <v>-13.2</v>
      </c>
      <c r="BB78">
        <v>-13.7</v>
      </c>
      <c r="BC78">
        <v>-14</v>
      </c>
      <c r="BD78">
        <v>-14.1</v>
      </c>
      <c r="BE78">
        <v>-14</v>
      </c>
      <c r="BF78">
        <v>-13.7</v>
      </c>
      <c r="BG78">
        <v>-13.3</v>
      </c>
      <c r="BH78">
        <v>-12.6</v>
      </c>
      <c r="BI78">
        <v>-11.7</v>
      </c>
      <c r="BJ78">
        <v>-10.6</v>
      </c>
      <c r="BK78">
        <v>-9.3000000000000007</v>
      </c>
      <c r="BL78">
        <v>-7.83</v>
      </c>
      <c r="BM78">
        <v>-6.18</v>
      </c>
      <c r="BN78">
        <v>-4.3600000000000003</v>
      </c>
      <c r="BO78">
        <v>-2.39</v>
      </c>
      <c r="BP78">
        <v>-0.28999999999999998</v>
      </c>
      <c r="BQ78">
        <v>1.91</v>
      </c>
      <c r="BR78">
        <v>4.18</v>
      </c>
      <c r="BS78">
        <v>6.47</v>
      </c>
      <c r="BT78">
        <v>8.74</v>
      </c>
      <c r="BU78">
        <v>11</v>
      </c>
      <c r="BV78">
        <v>13.1</v>
      </c>
      <c r="BW78">
        <v>15.2</v>
      </c>
      <c r="BX78">
        <v>17.100000000000001</v>
      </c>
      <c r="BY78">
        <v>19</v>
      </c>
      <c r="BZ78">
        <v>20.7</v>
      </c>
      <c r="CA78">
        <v>22.3</v>
      </c>
      <c r="CB78">
        <v>23.8</v>
      </c>
      <c r="CC78">
        <v>25.2</v>
      </c>
      <c r="CD78">
        <v>26.5</v>
      </c>
      <c r="CE78">
        <v>27.7</v>
      </c>
      <c r="CF78">
        <v>28.8</v>
      </c>
      <c r="CG78">
        <v>29.8</v>
      </c>
      <c r="CH78">
        <v>30.7</v>
      </c>
      <c r="CI78">
        <v>31.5</v>
      </c>
      <c r="CJ78">
        <v>32.200000000000003</v>
      </c>
      <c r="CK78">
        <v>32.799999999999997</v>
      </c>
      <c r="CL78">
        <v>33.299999999999997</v>
      </c>
      <c r="CM78">
        <v>33.799999999999997</v>
      </c>
      <c r="CN78">
        <v>34.1</v>
      </c>
      <c r="CO78">
        <v>34.4</v>
      </c>
      <c r="CP78">
        <v>34.700000000000003</v>
      </c>
      <c r="CQ78">
        <v>34.799999999999997</v>
      </c>
      <c r="CR78">
        <v>34.9</v>
      </c>
      <c r="CS78">
        <v>35</v>
      </c>
      <c r="CT78">
        <v>35</v>
      </c>
      <c r="CU78">
        <v>35</v>
      </c>
      <c r="CV78">
        <v>34.9</v>
      </c>
      <c r="CW78">
        <v>34.9</v>
      </c>
      <c r="CX78">
        <v>34.799999999999997</v>
      </c>
      <c r="CY78">
        <v>34.799999999999997</v>
      </c>
      <c r="CZ78">
        <v>34.9</v>
      </c>
      <c r="DA78">
        <v>35</v>
      </c>
      <c r="DB78">
        <v>35.1</v>
      </c>
    </row>
    <row r="79" spans="1:106" x14ac:dyDescent="0.25">
      <c r="A79" s="59"/>
      <c r="B79" s="59"/>
      <c r="C79" t="s">
        <v>54</v>
      </c>
      <c r="D79">
        <v>9</v>
      </c>
      <c r="E79" t="s">
        <v>2</v>
      </c>
      <c r="F79">
        <v>7.39</v>
      </c>
      <c r="G79">
        <v>9.31</v>
      </c>
      <c r="H79">
        <v>11.4</v>
      </c>
      <c r="I79">
        <v>13.5</v>
      </c>
      <c r="J79">
        <v>15.6</v>
      </c>
      <c r="K79">
        <v>17.600000000000001</v>
      </c>
      <c r="L79">
        <v>19.3</v>
      </c>
      <c r="M79">
        <v>20.8</v>
      </c>
      <c r="N79">
        <v>22.1</v>
      </c>
      <c r="O79">
        <v>23</v>
      </c>
      <c r="P79">
        <v>23.7</v>
      </c>
      <c r="Q79">
        <v>24.1</v>
      </c>
      <c r="R79">
        <v>24.3</v>
      </c>
      <c r="S79">
        <v>24.3</v>
      </c>
      <c r="T79">
        <v>24.1</v>
      </c>
      <c r="U79">
        <v>23.7</v>
      </c>
      <c r="V79">
        <v>23</v>
      </c>
      <c r="W79">
        <v>22.2</v>
      </c>
      <c r="X79">
        <v>21.2</v>
      </c>
      <c r="Y79">
        <v>20.100000000000001</v>
      </c>
      <c r="Z79">
        <v>19</v>
      </c>
      <c r="AA79">
        <v>17.899999999999999</v>
      </c>
      <c r="AB79">
        <v>16.8</v>
      </c>
      <c r="AC79">
        <v>15.7</v>
      </c>
      <c r="AD79">
        <v>14.6</v>
      </c>
      <c r="AE79">
        <v>13.6</v>
      </c>
      <c r="AF79">
        <v>12.7</v>
      </c>
      <c r="AG79">
        <v>11.7</v>
      </c>
      <c r="AH79">
        <v>10.9</v>
      </c>
      <c r="AI79">
        <v>10</v>
      </c>
      <c r="AJ79">
        <v>9.2100000000000009</v>
      </c>
      <c r="AK79">
        <v>8.42</v>
      </c>
      <c r="AL79">
        <v>7.65</v>
      </c>
      <c r="AM79">
        <v>6.93</v>
      </c>
      <c r="AN79">
        <v>6.25</v>
      </c>
      <c r="AO79">
        <v>5.64</v>
      </c>
      <c r="AP79">
        <v>5.1100000000000003</v>
      </c>
      <c r="AQ79">
        <v>4.67</v>
      </c>
      <c r="AR79">
        <v>4.32</v>
      </c>
      <c r="AS79">
        <v>4.09</v>
      </c>
      <c r="AT79">
        <v>3.98</v>
      </c>
      <c r="AU79">
        <v>4</v>
      </c>
      <c r="AV79">
        <v>4.16</v>
      </c>
      <c r="AW79">
        <v>4.47</v>
      </c>
      <c r="AX79">
        <v>4.95</v>
      </c>
      <c r="AY79">
        <v>5.6</v>
      </c>
      <c r="AZ79">
        <v>6.44</v>
      </c>
      <c r="BA79">
        <v>7.48</v>
      </c>
      <c r="BB79">
        <v>8.74</v>
      </c>
      <c r="BC79">
        <v>10.199999999999999</v>
      </c>
      <c r="BD79">
        <v>11.9</v>
      </c>
      <c r="BE79">
        <v>13.9</v>
      </c>
      <c r="BF79">
        <v>16.100000000000001</v>
      </c>
      <c r="BG79">
        <v>18.5</v>
      </c>
      <c r="BH79">
        <v>21.1</v>
      </c>
      <c r="BI79">
        <v>23.9</v>
      </c>
      <c r="BJ79">
        <v>26.9</v>
      </c>
      <c r="BK79">
        <v>30.1</v>
      </c>
      <c r="BL79">
        <v>33.4</v>
      </c>
      <c r="BM79">
        <v>36.9</v>
      </c>
      <c r="BN79">
        <v>40.299999999999997</v>
      </c>
      <c r="BO79">
        <v>43.7</v>
      </c>
      <c r="BP79">
        <v>47</v>
      </c>
      <c r="BQ79">
        <v>50.1</v>
      </c>
      <c r="BR79">
        <v>52.9</v>
      </c>
      <c r="BS79">
        <v>55.4</v>
      </c>
      <c r="BT79">
        <v>57.4</v>
      </c>
      <c r="BU79">
        <v>59</v>
      </c>
      <c r="BV79">
        <v>60.2</v>
      </c>
      <c r="BW79">
        <v>60.9</v>
      </c>
      <c r="BX79">
        <v>61.2</v>
      </c>
      <c r="BY79">
        <v>61.1</v>
      </c>
      <c r="BZ79">
        <v>60.7</v>
      </c>
      <c r="CA79">
        <v>59.9</v>
      </c>
      <c r="CB79">
        <v>58.9</v>
      </c>
      <c r="CC79">
        <v>57.5</v>
      </c>
      <c r="CD79">
        <v>55.8</v>
      </c>
      <c r="CE79">
        <v>53.9</v>
      </c>
      <c r="CF79">
        <v>51.7</v>
      </c>
      <c r="CG79">
        <v>49.3</v>
      </c>
      <c r="CH79">
        <v>46.6</v>
      </c>
      <c r="CI79">
        <v>43.8</v>
      </c>
      <c r="CJ79">
        <v>40.700000000000003</v>
      </c>
      <c r="CK79">
        <v>37.6</v>
      </c>
      <c r="CL79">
        <v>34.299999999999997</v>
      </c>
      <c r="CM79">
        <v>30.9</v>
      </c>
      <c r="CN79">
        <v>27.5</v>
      </c>
      <c r="CO79">
        <v>24.1</v>
      </c>
      <c r="CP79">
        <v>20.8</v>
      </c>
      <c r="CQ79">
        <v>17.600000000000001</v>
      </c>
      <c r="CR79">
        <v>14.6</v>
      </c>
      <c r="CS79">
        <v>11.9</v>
      </c>
      <c r="CT79">
        <v>9.57</v>
      </c>
      <c r="CU79">
        <v>7.64</v>
      </c>
      <c r="CV79">
        <v>6.19</v>
      </c>
      <c r="CW79">
        <v>5.24</v>
      </c>
      <c r="CX79">
        <v>4.8099999999999996</v>
      </c>
      <c r="CY79">
        <v>4.92</v>
      </c>
      <c r="CZ79">
        <v>5.54</v>
      </c>
      <c r="DA79">
        <v>6.65</v>
      </c>
      <c r="DB79">
        <v>8.19</v>
      </c>
    </row>
    <row r="80" spans="1:106" x14ac:dyDescent="0.25">
      <c r="A80" s="59"/>
      <c r="B80" s="59"/>
      <c r="C80" t="s">
        <v>55</v>
      </c>
      <c r="D80">
        <v>9</v>
      </c>
      <c r="E80" t="s">
        <v>2</v>
      </c>
      <c r="F80">
        <v>-2.52</v>
      </c>
      <c r="G80">
        <v>-3.84</v>
      </c>
      <c r="H80">
        <v>-4.87</v>
      </c>
      <c r="I80">
        <v>-5.43</v>
      </c>
      <c r="J80">
        <v>-5.46</v>
      </c>
      <c r="K80">
        <v>-5</v>
      </c>
      <c r="L80">
        <v>-4.1399999999999997</v>
      </c>
      <c r="M80">
        <v>-3.01</v>
      </c>
      <c r="N80">
        <v>-1.71</v>
      </c>
      <c r="O80">
        <v>-0.36</v>
      </c>
      <c r="P80">
        <v>0.97</v>
      </c>
      <c r="Q80">
        <v>2.2200000000000002</v>
      </c>
      <c r="R80">
        <v>3.35</v>
      </c>
      <c r="S80">
        <v>4.3499999999999996</v>
      </c>
      <c r="T80">
        <v>5.21</v>
      </c>
      <c r="U80">
        <v>5.94</v>
      </c>
      <c r="V80">
        <v>6.54</v>
      </c>
      <c r="W80">
        <v>7.03</v>
      </c>
      <c r="X80">
        <v>7.42</v>
      </c>
      <c r="Y80">
        <v>7.73</v>
      </c>
      <c r="Z80">
        <v>7.97</v>
      </c>
      <c r="AA80">
        <v>8.16</v>
      </c>
      <c r="AB80">
        <v>8.32</v>
      </c>
      <c r="AC80">
        <v>8.4700000000000006</v>
      </c>
      <c r="AD80">
        <v>8.6199999999999992</v>
      </c>
      <c r="AE80">
        <v>8.7799999999999994</v>
      </c>
      <c r="AF80">
        <v>8.9499999999999993</v>
      </c>
      <c r="AG80">
        <v>9.1300000000000008</v>
      </c>
      <c r="AH80">
        <v>9.33</v>
      </c>
      <c r="AI80">
        <v>9.5500000000000007</v>
      </c>
      <c r="AJ80">
        <v>9.7799999999999994</v>
      </c>
      <c r="AK80">
        <v>10</v>
      </c>
      <c r="AL80">
        <v>10.3</v>
      </c>
      <c r="AM80">
        <v>10.5</v>
      </c>
      <c r="AN80">
        <v>10.8</v>
      </c>
      <c r="AO80">
        <v>11.1</v>
      </c>
      <c r="AP80">
        <v>11.4</v>
      </c>
      <c r="AQ80">
        <v>11.7</v>
      </c>
      <c r="AR80">
        <v>11.9</v>
      </c>
      <c r="AS80">
        <v>12.2</v>
      </c>
      <c r="AT80">
        <v>12.5</v>
      </c>
      <c r="AU80">
        <v>12.7</v>
      </c>
      <c r="AV80">
        <v>12.9</v>
      </c>
      <c r="AW80">
        <v>13</v>
      </c>
      <c r="AX80">
        <v>13.1</v>
      </c>
      <c r="AY80">
        <v>13</v>
      </c>
      <c r="AZ80">
        <v>12.8</v>
      </c>
      <c r="BA80">
        <v>12.3</v>
      </c>
      <c r="BB80">
        <v>11.5</v>
      </c>
      <c r="BC80">
        <v>10.3</v>
      </c>
      <c r="BD80">
        <v>8.61</v>
      </c>
      <c r="BE80">
        <v>6.39</v>
      </c>
      <c r="BF80">
        <v>3.58</v>
      </c>
      <c r="BG80">
        <v>0.21</v>
      </c>
      <c r="BH80">
        <v>-3.61</v>
      </c>
      <c r="BI80">
        <v>-7.65</v>
      </c>
      <c r="BJ80">
        <v>-11.6</v>
      </c>
      <c r="BK80">
        <v>-15.2</v>
      </c>
      <c r="BL80">
        <v>-18.100000000000001</v>
      </c>
      <c r="BM80">
        <v>-20.2</v>
      </c>
      <c r="BN80">
        <v>-21.4</v>
      </c>
      <c r="BO80">
        <v>-21.8</v>
      </c>
      <c r="BP80">
        <v>-21.4</v>
      </c>
      <c r="BQ80">
        <v>-20.3</v>
      </c>
      <c r="BR80">
        <v>-18.8</v>
      </c>
      <c r="BS80">
        <v>-17</v>
      </c>
      <c r="BT80">
        <v>-15</v>
      </c>
      <c r="BU80">
        <v>-12.9</v>
      </c>
      <c r="BV80">
        <v>-10.9</v>
      </c>
      <c r="BW80">
        <v>-9.01</v>
      </c>
      <c r="BX80">
        <v>-7.32</v>
      </c>
      <c r="BY80">
        <v>-5.82</v>
      </c>
      <c r="BZ80">
        <v>-4.5199999999999996</v>
      </c>
      <c r="CA80">
        <v>-3.39</v>
      </c>
      <c r="CB80">
        <v>-2.4</v>
      </c>
      <c r="CC80">
        <v>-1.55</v>
      </c>
      <c r="CD80">
        <v>-0.8</v>
      </c>
      <c r="CE80">
        <v>-0.18</v>
      </c>
      <c r="CF80">
        <v>0.33</v>
      </c>
      <c r="CG80">
        <v>0.7</v>
      </c>
      <c r="CH80">
        <v>0.93</v>
      </c>
      <c r="CI80">
        <v>1.01</v>
      </c>
      <c r="CJ80">
        <v>0.95</v>
      </c>
      <c r="CK80">
        <v>0.78</v>
      </c>
      <c r="CL80">
        <v>0.53</v>
      </c>
      <c r="CM80">
        <v>0.25</v>
      </c>
      <c r="CN80">
        <v>1.2E-2</v>
      </c>
      <c r="CO80">
        <v>-0.13</v>
      </c>
      <c r="CP80">
        <v>-0.13</v>
      </c>
      <c r="CQ80">
        <v>3.1E-2</v>
      </c>
      <c r="CR80">
        <v>0.34</v>
      </c>
      <c r="CS80">
        <v>0.74</v>
      </c>
      <c r="CT80">
        <v>1.17</v>
      </c>
      <c r="CU80">
        <v>1.52</v>
      </c>
      <c r="CV80">
        <v>1.71</v>
      </c>
      <c r="CW80">
        <v>1.66</v>
      </c>
      <c r="CX80">
        <v>1.32</v>
      </c>
      <c r="CY80">
        <v>0.67</v>
      </c>
      <c r="CZ80">
        <v>-0.28999999999999998</v>
      </c>
      <c r="DA80">
        <v>-1.5</v>
      </c>
      <c r="DB80">
        <v>-2.81</v>
      </c>
    </row>
    <row r="81" spans="1:106" x14ac:dyDescent="0.25">
      <c r="A81" s="59"/>
      <c r="B81" s="59"/>
      <c r="C81" t="s">
        <v>56</v>
      </c>
      <c r="D81">
        <v>9</v>
      </c>
      <c r="E81" t="s">
        <v>2</v>
      </c>
      <c r="F81">
        <v>1.1599999999999999</v>
      </c>
      <c r="G81">
        <v>1.46</v>
      </c>
      <c r="H81">
        <v>1.78</v>
      </c>
      <c r="I81">
        <v>2.12</v>
      </c>
      <c r="J81">
        <v>2.46</v>
      </c>
      <c r="K81">
        <v>2.81</v>
      </c>
      <c r="L81">
        <v>3.14</v>
      </c>
      <c r="M81">
        <v>3.46</v>
      </c>
      <c r="N81">
        <v>3.74</v>
      </c>
      <c r="O81">
        <v>3.99</v>
      </c>
      <c r="P81">
        <v>4.18</v>
      </c>
      <c r="Q81">
        <v>4.32</v>
      </c>
      <c r="R81">
        <v>4.41</v>
      </c>
      <c r="S81">
        <v>4.43</v>
      </c>
      <c r="T81">
        <v>4.38</v>
      </c>
      <c r="U81">
        <v>4.28</v>
      </c>
      <c r="V81">
        <v>4.1100000000000003</v>
      </c>
      <c r="W81">
        <v>3.89</v>
      </c>
      <c r="X81">
        <v>3.62</v>
      </c>
      <c r="Y81">
        <v>3.31</v>
      </c>
      <c r="Z81">
        <v>2.97</v>
      </c>
      <c r="AA81">
        <v>2.6</v>
      </c>
      <c r="AB81">
        <v>2.21</v>
      </c>
      <c r="AC81">
        <v>1.82</v>
      </c>
      <c r="AD81">
        <v>1.43</v>
      </c>
      <c r="AE81">
        <v>1.05</v>
      </c>
      <c r="AF81">
        <v>0.69</v>
      </c>
      <c r="AG81">
        <v>0.36</v>
      </c>
      <c r="AH81">
        <v>5.2999999999999999E-2</v>
      </c>
      <c r="AI81">
        <v>-0.22</v>
      </c>
      <c r="AJ81">
        <v>-0.45</v>
      </c>
      <c r="AK81">
        <v>-0.64</v>
      </c>
      <c r="AL81">
        <v>-0.79</v>
      </c>
      <c r="AM81">
        <v>-0.9</v>
      </c>
      <c r="AN81">
        <v>-0.97</v>
      </c>
      <c r="AO81">
        <v>-1.02</v>
      </c>
      <c r="AP81">
        <v>-1.03</v>
      </c>
      <c r="AQ81">
        <v>-1.02</v>
      </c>
      <c r="AR81">
        <v>-1</v>
      </c>
      <c r="AS81">
        <v>-0.97</v>
      </c>
      <c r="AT81">
        <v>-0.94</v>
      </c>
      <c r="AU81">
        <v>-0.92</v>
      </c>
      <c r="AV81">
        <v>-0.91</v>
      </c>
      <c r="AW81">
        <v>-0.92</v>
      </c>
      <c r="AX81">
        <v>-0.96</v>
      </c>
      <c r="AY81">
        <v>-1.03</v>
      </c>
      <c r="AZ81">
        <v>-1.1399999999999999</v>
      </c>
      <c r="BA81">
        <v>-1.29</v>
      </c>
      <c r="BB81">
        <v>-1.48</v>
      </c>
      <c r="BC81">
        <v>-1.7</v>
      </c>
      <c r="BD81">
        <v>-1.97</v>
      </c>
      <c r="BE81">
        <v>-2.2599999999999998</v>
      </c>
      <c r="BF81">
        <v>-2.59</v>
      </c>
      <c r="BG81">
        <v>-2.94</v>
      </c>
      <c r="BH81">
        <v>-3.3</v>
      </c>
      <c r="BI81">
        <v>-3.66</v>
      </c>
      <c r="BJ81">
        <v>-4.0199999999999996</v>
      </c>
      <c r="BK81">
        <v>-4.3600000000000003</v>
      </c>
      <c r="BL81">
        <v>-4.67</v>
      </c>
      <c r="BM81">
        <v>-4.9400000000000004</v>
      </c>
      <c r="BN81">
        <v>-5.17</v>
      </c>
      <c r="BO81">
        <v>-5.35</v>
      </c>
      <c r="BP81">
        <v>-5.46</v>
      </c>
      <c r="BQ81">
        <v>-5.51</v>
      </c>
      <c r="BR81">
        <v>-5.49</v>
      </c>
      <c r="BS81">
        <v>-5.41</v>
      </c>
      <c r="BT81">
        <v>-5.27</v>
      </c>
      <c r="BU81">
        <v>-5.0599999999999996</v>
      </c>
      <c r="BV81">
        <v>-4.8</v>
      </c>
      <c r="BW81">
        <v>-4.49</v>
      </c>
      <c r="BX81">
        <v>-4.1399999999999997</v>
      </c>
      <c r="BY81">
        <v>-3.76</v>
      </c>
      <c r="BZ81">
        <v>-3.36</v>
      </c>
      <c r="CA81">
        <v>-2.96</v>
      </c>
      <c r="CB81">
        <v>-2.5499999999999998</v>
      </c>
      <c r="CC81">
        <v>-2.15</v>
      </c>
      <c r="CD81">
        <v>-1.77</v>
      </c>
      <c r="CE81">
        <v>-1.42</v>
      </c>
      <c r="CF81">
        <v>-1.1100000000000001</v>
      </c>
      <c r="CG81">
        <v>-0.83</v>
      </c>
      <c r="CH81">
        <v>-0.6</v>
      </c>
      <c r="CI81">
        <v>-0.41</v>
      </c>
      <c r="CJ81">
        <v>-0.27</v>
      </c>
      <c r="CK81">
        <v>-0.16</v>
      </c>
      <c r="CL81">
        <v>-9.4E-2</v>
      </c>
      <c r="CM81">
        <v>-0.06</v>
      </c>
      <c r="CN81">
        <v>-5.3999999999999999E-2</v>
      </c>
      <c r="CO81">
        <v>-6.9000000000000006E-2</v>
      </c>
      <c r="CP81">
        <v>-9.8000000000000004E-2</v>
      </c>
      <c r="CQ81">
        <v>-0.13</v>
      </c>
      <c r="CR81">
        <v>-0.17</v>
      </c>
      <c r="CS81">
        <v>-0.19</v>
      </c>
      <c r="CT81">
        <v>-0.2</v>
      </c>
      <c r="CU81">
        <v>-0.18</v>
      </c>
      <c r="CV81">
        <v>-0.14000000000000001</v>
      </c>
      <c r="CW81">
        <v>-0.06</v>
      </c>
      <c r="CX81">
        <v>5.1999999999999998E-2</v>
      </c>
      <c r="CY81">
        <v>0.2</v>
      </c>
      <c r="CZ81">
        <v>0.39</v>
      </c>
      <c r="DA81">
        <v>0.62</v>
      </c>
      <c r="DB81">
        <v>0.88</v>
      </c>
    </row>
    <row r="82" spans="1:106" x14ac:dyDescent="0.25">
      <c r="A82" s="59"/>
      <c r="B82" s="59"/>
      <c r="C82" t="s">
        <v>57</v>
      </c>
      <c r="D82">
        <v>9</v>
      </c>
      <c r="E82" t="s">
        <v>2</v>
      </c>
      <c r="F82">
        <v>-2.66</v>
      </c>
      <c r="G82">
        <v>-2.1</v>
      </c>
      <c r="H82">
        <v>-1.5</v>
      </c>
      <c r="I82">
        <v>-0.85</v>
      </c>
      <c r="J82">
        <v>-0.18</v>
      </c>
      <c r="K82">
        <v>0.5</v>
      </c>
      <c r="L82">
        <v>1.18</v>
      </c>
      <c r="M82">
        <v>1.84</v>
      </c>
      <c r="N82">
        <v>2.4700000000000002</v>
      </c>
      <c r="O82">
        <v>3.06</v>
      </c>
      <c r="P82">
        <v>3.61</v>
      </c>
      <c r="Q82">
        <v>4.1100000000000003</v>
      </c>
      <c r="R82">
        <v>4.55</v>
      </c>
      <c r="S82">
        <v>4.91</v>
      </c>
      <c r="T82">
        <v>5.2</v>
      </c>
      <c r="U82">
        <v>5.4</v>
      </c>
      <c r="V82">
        <v>5.52</v>
      </c>
      <c r="W82">
        <v>5.56</v>
      </c>
      <c r="X82">
        <v>5.53</v>
      </c>
      <c r="Y82">
        <v>5.45</v>
      </c>
      <c r="Z82">
        <v>5.31</v>
      </c>
      <c r="AA82">
        <v>5.13</v>
      </c>
      <c r="AB82">
        <v>4.91</v>
      </c>
      <c r="AC82">
        <v>4.66</v>
      </c>
      <c r="AD82">
        <v>4.3899999999999997</v>
      </c>
      <c r="AE82">
        <v>4.1100000000000003</v>
      </c>
      <c r="AF82">
        <v>3.83</v>
      </c>
      <c r="AG82">
        <v>3.56</v>
      </c>
      <c r="AH82">
        <v>3.3</v>
      </c>
      <c r="AI82">
        <v>3.06</v>
      </c>
      <c r="AJ82">
        <v>2.84</v>
      </c>
      <c r="AK82">
        <v>2.65</v>
      </c>
      <c r="AL82">
        <v>2.48</v>
      </c>
      <c r="AM82">
        <v>2.3199999999999998</v>
      </c>
      <c r="AN82">
        <v>2.19</v>
      </c>
      <c r="AO82">
        <v>2.0699999999999998</v>
      </c>
      <c r="AP82">
        <v>1.96</v>
      </c>
      <c r="AQ82">
        <v>1.85</v>
      </c>
      <c r="AR82">
        <v>1.73</v>
      </c>
      <c r="AS82">
        <v>1.61</v>
      </c>
      <c r="AT82">
        <v>1.46</v>
      </c>
      <c r="AU82">
        <v>1.28</v>
      </c>
      <c r="AV82">
        <v>1.08</v>
      </c>
      <c r="AW82">
        <v>0.83</v>
      </c>
      <c r="AX82">
        <v>0.55000000000000004</v>
      </c>
      <c r="AY82">
        <v>0.23</v>
      </c>
      <c r="AZ82">
        <v>-0.14000000000000001</v>
      </c>
      <c r="BA82">
        <v>-0.54</v>
      </c>
      <c r="BB82">
        <v>-0.99</v>
      </c>
      <c r="BC82">
        <v>-1.46</v>
      </c>
      <c r="BD82">
        <v>-1.97</v>
      </c>
      <c r="BE82">
        <v>-2.4900000000000002</v>
      </c>
      <c r="BF82">
        <v>-3.03</v>
      </c>
      <c r="BG82">
        <v>-3.58</v>
      </c>
      <c r="BH82">
        <v>-4.12</v>
      </c>
      <c r="BI82">
        <v>-4.6500000000000004</v>
      </c>
      <c r="BJ82">
        <v>-5.16</v>
      </c>
      <c r="BK82">
        <v>-5.63</v>
      </c>
      <c r="BL82">
        <v>-6.05</v>
      </c>
      <c r="BM82">
        <v>-6.42</v>
      </c>
      <c r="BN82">
        <v>-6.71</v>
      </c>
      <c r="BO82">
        <v>-6.92</v>
      </c>
      <c r="BP82">
        <v>-7.04</v>
      </c>
      <c r="BQ82">
        <v>-7.07</v>
      </c>
      <c r="BR82">
        <v>-7.02</v>
      </c>
      <c r="BS82">
        <v>-6.88</v>
      </c>
      <c r="BT82">
        <v>-6.67</v>
      </c>
      <c r="BU82">
        <v>-6.39</v>
      </c>
      <c r="BV82">
        <v>-6.05</v>
      </c>
      <c r="BW82">
        <v>-5.67</v>
      </c>
      <c r="BX82">
        <v>-5.27</v>
      </c>
      <c r="BY82">
        <v>-4.8600000000000003</v>
      </c>
      <c r="BZ82">
        <v>-4.4400000000000004</v>
      </c>
      <c r="CA82">
        <v>-4.05</v>
      </c>
      <c r="CB82">
        <v>-3.69</v>
      </c>
      <c r="CC82">
        <v>-3.38</v>
      </c>
      <c r="CD82">
        <v>-3.13</v>
      </c>
      <c r="CE82">
        <v>-2.93</v>
      </c>
      <c r="CF82">
        <v>-2.8</v>
      </c>
      <c r="CG82">
        <v>-2.73</v>
      </c>
      <c r="CH82">
        <v>-2.71</v>
      </c>
      <c r="CI82">
        <v>-2.74</v>
      </c>
      <c r="CJ82">
        <v>-2.82</v>
      </c>
      <c r="CK82">
        <v>-2.93</v>
      </c>
      <c r="CL82">
        <v>-3.07</v>
      </c>
      <c r="CM82">
        <v>-3.24</v>
      </c>
      <c r="CN82">
        <v>-3.42</v>
      </c>
      <c r="CO82">
        <v>-3.62</v>
      </c>
      <c r="CP82">
        <v>-3.83</v>
      </c>
      <c r="CQ82">
        <v>-4.05</v>
      </c>
      <c r="CR82">
        <v>-4.25</v>
      </c>
      <c r="CS82">
        <v>-4.4400000000000004</v>
      </c>
      <c r="CT82">
        <v>-4.5999999999999996</v>
      </c>
      <c r="CU82">
        <v>-4.71</v>
      </c>
      <c r="CV82">
        <v>-4.76</v>
      </c>
      <c r="CW82">
        <v>-4.74</v>
      </c>
      <c r="CX82">
        <v>-4.63</v>
      </c>
      <c r="CY82">
        <v>-4.43</v>
      </c>
      <c r="CZ82">
        <v>-4.13</v>
      </c>
      <c r="DA82">
        <v>-3.74</v>
      </c>
      <c r="DB82">
        <v>-3.26</v>
      </c>
    </row>
    <row r="83" spans="1:106" x14ac:dyDescent="0.25">
      <c r="A83" s="59"/>
      <c r="B83" s="59"/>
      <c r="C83" t="s">
        <v>58</v>
      </c>
      <c r="D83">
        <v>9</v>
      </c>
      <c r="E83" t="s">
        <v>2</v>
      </c>
      <c r="F83">
        <v>1.05</v>
      </c>
      <c r="G83">
        <v>0.89</v>
      </c>
      <c r="H83">
        <v>0.84</v>
      </c>
      <c r="I83">
        <v>0.93</v>
      </c>
      <c r="J83">
        <v>1.18</v>
      </c>
      <c r="K83">
        <v>1.59</v>
      </c>
      <c r="L83">
        <v>2.11</v>
      </c>
      <c r="M83">
        <v>2.66</v>
      </c>
      <c r="N83">
        <v>3.14</v>
      </c>
      <c r="O83">
        <v>3.47</v>
      </c>
      <c r="P83">
        <v>3.59</v>
      </c>
      <c r="Q83">
        <v>3.49</v>
      </c>
      <c r="R83">
        <v>3.19</v>
      </c>
      <c r="S83">
        <v>2.75</v>
      </c>
      <c r="T83">
        <v>2.23</v>
      </c>
      <c r="U83">
        <v>1.74</v>
      </c>
      <c r="V83">
        <v>1.33</v>
      </c>
      <c r="W83">
        <v>1.03</v>
      </c>
      <c r="X83">
        <v>0.84</v>
      </c>
      <c r="Y83">
        <v>0.74</v>
      </c>
      <c r="Z83">
        <v>0.69</v>
      </c>
      <c r="AA83">
        <v>0.66</v>
      </c>
      <c r="AB83">
        <v>0.63</v>
      </c>
      <c r="AC83">
        <v>0.6</v>
      </c>
      <c r="AD83">
        <v>0.56000000000000005</v>
      </c>
      <c r="AE83">
        <v>0.52</v>
      </c>
      <c r="AF83">
        <v>0.49</v>
      </c>
      <c r="AG83">
        <v>0.49</v>
      </c>
      <c r="AH83">
        <v>0.51</v>
      </c>
      <c r="AI83">
        <v>0.56000000000000005</v>
      </c>
      <c r="AJ83">
        <v>0.64</v>
      </c>
      <c r="AK83">
        <v>0.74</v>
      </c>
      <c r="AL83">
        <v>0.85</v>
      </c>
      <c r="AM83">
        <v>0.98</v>
      </c>
      <c r="AN83">
        <v>1.1000000000000001</v>
      </c>
      <c r="AO83">
        <v>1.23</v>
      </c>
      <c r="AP83">
        <v>1.34</v>
      </c>
      <c r="AQ83">
        <v>1.44</v>
      </c>
      <c r="AR83">
        <v>1.53</v>
      </c>
      <c r="AS83">
        <v>1.6</v>
      </c>
      <c r="AT83">
        <v>1.66</v>
      </c>
      <c r="AU83">
        <v>1.68</v>
      </c>
      <c r="AV83">
        <v>1.69</v>
      </c>
      <c r="AW83">
        <v>1.66</v>
      </c>
      <c r="AX83">
        <v>1.6</v>
      </c>
      <c r="AY83">
        <v>1.51</v>
      </c>
      <c r="AZ83">
        <v>1.38</v>
      </c>
      <c r="BA83">
        <v>1.2</v>
      </c>
      <c r="BB83">
        <v>0.99</v>
      </c>
      <c r="BC83">
        <v>0.73</v>
      </c>
      <c r="BD83">
        <v>0.43</v>
      </c>
      <c r="BE83">
        <v>0.11</v>
      </c>
      <c r="BF83">
        <v>-0.21</v>
      </c>
      <c r="BG83">
        <v>-0.5</v>
      </c>
      <c r="BH83">
        <v>-0.71</v>
      </c>
      <c r="BI83">
        <v>-0.82</v>
      </c>
      <c r="BJ83">
        <v>-0.79</v>
      </c>
      <c r="BK83">
        <v>-0.64</v>
      </c>
      <c r="BL83">
        <v>-0.41</v>
      </c>
      <c r="BM83">
        <v>-0.16</v>
      </c>
      <c r="BN83">
        <v>7.3000000000000001E-3</v>
      </c>
      <c r="BO83">
        <v>2.0999999999999999E-3</v>
      </c>
      <c r="BP83">
        <v>-0.25</v>
      </c>
      <c r="BQ83">
        <v>-0.76</v>
      </c>
      <c r="BR83">
        <v>-1.51</v>
      </c>
      <c r="BS83">
        <v>-2.39</v>
      </c>
      <c r="BT83">
        <v>-3.27</v>
      </c>
      <c r="BU83">
        <v>-4.0199999999999996</v>
      </c>
      <c r="BV83">
        <v>-4.51</v>
      </c>
      <c r="BW83">
        <v>-4.68</v>
      </c>
      <c r="BX83">
        <v>-4.4800000000000004</v>
      </c>
      <c r="BY83">
        <v>-3.94</v>
      </c>
      <c r="BZ83">
        <v>-3.08</v>
      </c>
      <c r="CA83">
        <v>-1.96</v>
      </c>
      <c r="CB83">
        <v>-0.67</v>
      </c>
      <c r="CC83">
        <v>0.71</v>
      </c>
      <c r="CD83">
        <v>2.09</v>
      </c>
      <c r="CE83">
        <v>3.38</v>
      </c>
      <c r="CF83">
        <v>4.49</v>
      </c>
      <c r="CG83">
        <v>5.37</v>
      </c>
      <c r="CH83">
        <v>5.97</v>
      </c>
      <c r="CI83">
        <v>6.25</v>
      </c>
      <c r="CJ83">
        <v>6.21</v>
      </c>
      <c r="CK83">
        <v>5.86</v>
      </c>
      <c r="CL83">
        <v>5.25</v>
      </c>
      <c r="CM83">
        <v>4.46</v>
      </c>
      <c r="CN83">
        <v>3.58</v>
      </c>
      <c r="CO83">
        <v>2.7</v>
      </c>
      <c r="CP83">
        <v>1.92</v>
      </c>
      <c r="CQ83">
        <v>1.31</v>
      </c>
      <c r="CR83">
        <v>0.93</v>
      </c>
      <c r="CS83">
        <v>0.76</v>
      </c>
      <c r="CT83">
        <v>0.77</v>
      </c>
      <c r="CU83">
        <v>0.91</v>
      </c>
      <c r="CV83">
        <v>1.0900000000000001</v>
      </c>
      <c r="CW83">
        <v>1.26</v>
      </c>
      <c r="CX83">
        <v>1.36</v>
      </c>
      <c r="CY83">
        <v>1.39</v>
      </c>
      <c r="CZ83">
        <v>1.35</v>
      </c>
      <c r="DA83">
        <v>1.27</v>
      </c>
      <c r="DB83">
        <v>1.18</v>
      </c>
    </row>
    <row r="84" spans="1:106" x14ac:dyDescent="0.25">
      <c r="A84" s="59"/>
      <c r="B84" s="59"/>
      <c r="C84" t="s">
        <v>59</v>
      </c>
      <c r="D84">
        <v>9</v>
      </c>
      <c r="E84" t="s">
        <v>2</v>
      </c>
      <c r="F84">
        <v>8.2100000000000009</v>
      </c>
      <c r="G84">
        <v>8.27</v>
      </c>
      <c r="H84">
        <v>8.2899999999999991</v>
      </c>
      <c r="I84">
        <v>8.2799999999999994</v>
      </c>
      <c r="J84">
        <v>8.24</v>
      </c>
      <c r="K84">
        <v>8.16</v>
      </c>
      <c r="L84">
        <v>8.07</v>
      </c>
      <c r="M84">
        <v>7.95</v>
      </c>
      <c r="N84">
        <v>7.81</v>
      </c>
      <c r="O84">
        <v>7.65</v>
      </c>
      <c r="P84">
        <v>7.48</v>
      </c>
      <c r="Q84">
        <v>7.29</v>
      </c>
      <c r="R84">
        <v>7.09</v>
      </c>
      <c r="S84">
        <v>6.87</v>
      </c>
      <c r="T84">
        <v>6.63</v>
      </c>
      <c r="U84">
        <v>6.37</v>
      </c>
      <c r="V84">
        <v>6.09</v>
      </c>
      <c r="W84">
        <v>5.79</v>
      </c>
      <c r="X84">
        <v>5.47</v>
      </c>
      <c r="Y84">
        <v>5.12</v>
      </c>
      <c r="Z84">
        <v>4.76</v>
      </c>
      <c r="AA84">
        <v>4.37</v>
      </c>
      <c r="AB84">
        <v>3.97</v>
      </c>
      <c r="AC84">
        <v>3.54</v>
      </c>
      <c r="AD84">
        <v>3.11</v>
      </c>
      <c r="AE84">
        <v>2.66</v>
      </c>
      <c r="AF84">
        <v>2.2000000000000002</v>
      </c>
      <c r="AG84">
        <v>1.72</v>
      </c>
      <c r="AH84">
        <v>1.24</v>
      </c>
      <c r="AI84">
        <v>0.76</v>
      </c>
      <c r="AJ84">
        <v>0.26</v>
      </c>
      <c r="AK84">
        <v>-0.23</v>
      </c>
      <c r="AL84">
        <v>-0.74</v>
      </c>
      <c r="AM84">
        <v>-1.24</v>
      </c>
      <c r="AN84">
        <v>-1.74</v>
      </c>
      <c r="AO84">
        <v>-2.2400000000000002</v>
      </c>
      <c r="AP84">
        <v>-2.73</v>
      </c>
      <c r="AQ84">
        <v>-3.22</v>
      </c>
      <c r="AR84">
        <v>-3.69</v>
      </c>
      <c r="AS84">
        <v>-4.1500000000000004</v>
      </c>
      <c r="AT84">
        <v>-4.59</v>
      </c>
      <c r="AU84">
        <v>-5</v>
      </c>
      <c r="AV84">
        <v>-5.39</v>
      </c>
      <c r="AW84">
        <v>-5.74</v>
      </c>
      <c r="AX84">
        <v>-6.05</v>
      </c>
      <c r="AY84">
        <v>-6.33</v>
      </c>
      <c r="AZ84">
        <v>-6.56</v>
      </c>
      <c r="BA84">
        <v>-6.74</v>
      </c>
      <c r="BB84">
        <v>-6.88</v>
      </c>
      <c r="BC84">
        <v>-6.98</v>
      </c>
      <c r="BD84">
        <v>-7.03</v>
      </c>
      <c r="BE84">
        <v>-7.04</v>
      </c>
      <c r="BF84">
        <v>-7.01</v>
      </c>
      <c r="BG84">
        <v>-6.96</v>
      </c>
      <c r="BH84">
        <v>-6.87</v>
      </c>
      <c r="BI84">
        <v>-6.77</v>
      </c>
      <c r="BJ84">
        <v>-6.65</v>
      </c>
      <c r="BK84">
        <v>-6.51</v>
      </c>
      <c r="BL84">
        <v>-6.37</v>
      </c>
      <c r="BM84">
        <v>-6.21</v>
      </c>
      <c r="BN84">
        <v>-6.05</v>
      </c>
      <c r="BO84">
        <v>-5.87</v>
      </c>
      <c r="BP84">
        <v>-5.69</v>
      </c>
      <c r="BQ84">
        <v>-5.5</v>
      </c>
      <c r="BR84">
        <v>-5.29</v>
      </c>
      <c r="BS84">
        <v>-5.07</v>
      </c>
      <c r="BT84">
        <v>-4.83</v>
      </c>
      <c r="BU84">
        <v>-4.58</v>
      </c>
      <c r="BV84">
        <v>-4.3099999999999996</v>
      </c>
      <c r="BW84">
        <v>-4.03</v>
      </c>
      <c r="BX84">
        <v>-3.73</v>
      </c>
      <c r="BY84">
        <v>-3.41</v>
      </c>
      <c r="BZ84">
        <v>-3.09</v>
      </c>
      <c r="CA84">
        <v>-2.75</v>
      </c>
      <c r="CB84">
        <v>-2.4</v>
      </c>
      <c r="CC84">
        <v>-2.04</v>
      </c>
      <c r="CD84">
        <v>-1.67</v>
      </c>
      <c r="CE84">
        <v>-1.29</v>
      </c>
      <c r="CF84">
        <v>-0.9</v>
      </c>
      <c r="CG84">
        <v>-0.51</v>
      </c>
      <c r="CH84">
        <v>-0.1</v>
      </c>
      <c r="CI84">
        <v>0.3</v>
      </c>
      <c r="CJ84">
        <v>0.72</v>
      </c>
      <c r="CK84">
        <v>1.1399999999999999</v>
      </c>
      <c r="CL84">
        <v>1.56</v>
      </c>
      <c r="CM84">
        <v>1.99</v>
      </c>
      <c r="CN84">
        <v>2.42</v>
      </c>
      <c r="CO84">
        <v>2.86</v>
      </c>
      <c r="CP84">
        <v>3.29</v>
      </c>
      <c r="CQ84">
        <v>3.72</v>
      </c>
      <c r="CR84">
        <v>4.1500000000000004</v>
      </c>
      <c r="CS84">
        <v>4.5599999999999996</v>
      </c>
      <c r="CT84">
        <v>4.95</v>
      </c>
      <c r="CU84">
        <v>5.32</v>
      </c>
      <c r="CV84">
        <v>5.66</v>
      </c>
      <c r="CW84">
        <v>5.97</v>
      </c>
      <c r="CX84">
        <v>6.23</v>
      </c>
      <c r="CY84">
        <v>6.46</v>
      </c>
      <c r="CZ84">
        <v>6.64</v>
      </c>
      <c r="DA84">
        <v>6.77</v>
      </c>
      <c r="DB84">
        <v>6.86</v>
      </c>
    </row>
    <row r="85" spans="1:106" x14ac:dyDescent="0.25">
      <c r="A85" s="59"/>
      <c r="B85" s="59"/>
      <c r="C85" t="s">
        <v>60</v>
      </c>
      <c r="D85">
        <v>9</v>
      </c>
      <c r="E85" t="s">
        <v>2</v>
      </c>
      <c r="F85">
        <v>-10.8</v>
      </c>
      <c r="G85">
        <v>-9.85</v>
      </c>
      <c r="H85">
        <v>-8.75</v>
      </c>
      <c r="I85">
        <v>-7.42</v>
      </c>
      <c r="J85">
        <v>-5.89</v>
      </c>
      <c r="K85">
        <v>-4.21</v>
      </c>
      <c r="L85">
        <v>-2.48</v>
      </c>
      <c r="M85">
        <v>-0.85</v>
      </c>
      <c r="N85">
        <v>0.53</v>
      </c>
      <c r="O85">
        <v>1.5</v>
      </c>
      <c r="P85">
        <v>1.98</v>
      </c>
      <c r="Q85">
        <v>1.98</v>
      </c>
      <c r="R85">
        <v>1.54</v>
      </c>
      <c r="S85">
        <v>0.79</v>
      </c>
      <c r="T85">
        <v>-0.12</v>
      </c>
      <c r="U85">
        <v>-1</v>
      </c>
      <c r="V85">
        <v>-1.71</v>
      </c>
      <c r="W85">
        <v>-2.1800000000000002</v>
      </c>
      <c r="X85">
        <v>-2.38</v>
      </c>
      <c r="Y85">
        <v>-2.37</v>
      </c>
      <c r="Z85">
        <v>-2.2000000000000002</v>
      </c>
      <c r="AA85">
        <v>-1.95</v>
      </c>
      <c r="AB85">
        <v>-1.72</v>
      </c>
      <c r="AC85">
        <v>-1.53</v>
      </c>
      <c r="AD85">
        <v>-1.43</v>
      </c>
      <c r="AE85">
        <v>-1.4</v>
      </c>
      <c r="AF85">
        <v>-1.41</v>
      </c>
      <c r="AG85">
        <v>-1.42</v>
      </c>
      <c r="AH85">
        <v>-1.38</v>
      </c>
      <c r="AI85">
        <v>-1.27</v>
      </c>
      <c r="AJ85">
        <v>-1.05</v>
      </c>
      <c r="AK85">
        <v>-0.74</v>
      </c>
      <c r="AL85">
        <v>-0.35</v>
      </c>
      <c r="AM85">
        <v>0.11</v>
      </c>
      <c r="AN85">
        <v>0.59</v>
      </c>
      <c r="AO85">
        <v>1.05</v>
      </c>
      <c r="AP85">
        <v>1.47</v>
      </c>
      <c r="AQ85">
        <v>1.83</v>
      </c>
      <c r="AR85">
        <v>2.1</v>
      </c>
      <c r="AS85">
        <v>2.29</v>
      </c>
      <c r="AT85">
        <v>2.4</v>
      </c>
      <c r="AU85">
        <v>2.42</v>
      </c>
      <c r="AV85">
        <v>2.38</v>
      </c>
      <c r="AW85">
        <v>2.27</v>
      </c>
      <c r="AX85">
        <v>2.08</v>
      </c>
      <c r="AY85">
        <v>1.82</v>
      </c>
      <c r="AZ85">
        <v>1.48</v>
      </c>
      <c r="BA85">
        <v>1.06</v>
      </c>
      <c r="BB85">
        <v>0.56999999999999995</v>
      </c>
      <c r="BC85">
        <v>3.7999999999999999E-2</v>
      </c>
      <c r="BD85">
        <v>-0.5</v>
      </c>
      <c r="BE85">
        <v>-0.99</v>
      </c>
      <c r="BF85">
        <v>-1.35</v>
      </c>
      <c r="BG85">
        <v>-1.53</v>
      </c>
      <c r="BH85">
        <v>-1.46</v>
      </c>
      <c r="BI85">
        <v>-1.1399999999999999</v>
      </c>
      <c r="BJ85">
        <v>-0.6</v>
      </c>
      <c r="BK85">
        <v>9.1999999999999998E-2</v>
      </c>
      <c r="BL85">
        <v>0.84</v>
      </c>
      <c r="BM85">
        <v>1.51</v>
      </c>
      <c r="BN85">
        <v>1.99</v>
      </c>
      <c r="BO85">
        <v>2.16</v>
      </c>
      <c r="BP85">
        <v>1.98</v>
      </c>
      <c r="BQ85">
        <v>1.46</v>
      </c>
      <c r="BR85">
        <v>0.66</v>
      </c>
      <c r="BS85">
        <v>-0.31</v>
      </c>
      <c r="BT85">
        <v>-1.32</v>
      </c>
      <c r="BU85">
        <v>-2.2000000000000002</v>
      </c>
      <c r="BV85">
        <v>-2.86</v>
      </c>
      <c r="BW85">
        <v>-3.21</v>
      </c>
      <c r="BX85">
        <v>-3.23</v>
      </c>
      <c r="BY85">
        <v>-2.92</v>
      </c>
      <c r="BZ85">
        <v>-2.3199999999999998</v>
      </c>
      <c r="CA85">
        <v>-1.47</v>
      </c>
      <c r="CB85">
        <v>-0.46</v>
      </c>
      <c r="CC85">
        <v>0.65</v>
      </c>
      <c r="CD85">
        <v>1.78</v>
      </c>
      <c r="CE85">
        <v>2.85</v>
      </c>
      <c r="CF85">
        <v>3.78</v>
      </c>
      <c r="CG85">
        <v>4.54</v>
      </c>
      <c r="CH85">
        <v>5.05</v>
      </c>
      <c r="CI85">
        <v>5.28</v>
      </c>
      <c r="CJ85">
        <v>5.19</v>
      </c>
      <c r="CK85">
        <v>4.76</v>
      </c>
      <c r="CL85">
        <v>3.98</v>
      </c>
      <c r="CM85">
        <v>2.84</v>
      </c>
      <c r="CN85">
        <v>1.38</v>
      </c>
      <c r="CO85">
        <v>-0.35</v>
      </c>
      <c r="CP85">
        <v>-2.2799999999999998</v>
      </c>
      <c r="CQ85">
        <v>-4.3</v>
      </c>
      <c r="CR85">
        <v>-6.29</v>
      </c>
      <c r="CS85">
        <v>-8.1</v>
      </c>
      <c r="CT85">
        <v>-9.6300000000000008</v>
      </c>
      <c r="CU85">
        <v>-10.8</v>
      </c>
      <c r="CV85">
        <v>-11.5</v>
      </c>
      <c r="CW85">
        <v>-11.8</v>
      </c>
      <c r="CX85">
        <v>-11.8</v>
      </c>
      <c r="CY85">
        <v>-11.4</v>
      </c>
      <c r="CZ85">
        <v>-10.8</v>
      </c>
      <c r="DA85">
        <v>-10</v>
      </c>
      <c r="DB85">
        <v>-9.08</v>
      </c>
    </row>
    <row r="86" spans="1:106" x14ac:dyDescent="0.25">
      <c r="A86" s="59"/>
      <c r="B86" s="59"/>
      <c r="C86" t="s">
        <v>61</v>
      </c>
      <c r="D86">
        <v>9</v>
      </c>
      <c r="E86" t="s">
        <v>2</v>
      </c>
      <c r="F86">
        <v>-0.47</v>
      </c>
      <c r="G86">
        <v>-0.15</v>
      </c>
      <c r="H86">
        <v>0.59</v>
      </c>
      <c r="I86">
        <v>1.69</v>
      </c>
      <c r="J86">
        <v>3.04</v>
      </c>
      <c r="K86">
        <v>4.43</v>
      </c>
      <c r="L86">
        <v>5.67</v>
      </c>
      <c r="M86">
        <v>6.61</v>
      </c>
      <c r="N86">
        <v>7.18</v>
      </c>
      <c r="O86">
        <v>7.42</v>
      </c>
      <c r="P86">
        <v>7.4</v>
      </c>
      <c r="Q86">
        <v>7.22</v>
      </c>
      <c r="R86">
        <v>6.98</v>
      </c>
      <c r="S86">
        <v>6.75</v>
      </c>
      <c r="T86">
        <v>6.6</v>
      </c>
      <c r="U86">
        <v>6.53</v>
      </c>
      <c r="V86">
        <v>6.51</v>
      </c>
      <c r="W86">
        <v>6.53</v>
      </c>
      <c r="X86">
        <v>6.55</v>
      </c>
      <c r="Y86">
        <v>6.55</v>
      </c>
      <c r="Z86">
        <v>6.53</v>
      </c>
      <c r="AA86">
        <v>6.47</v>
      </c>
      <c r="AB86">
        <v>6.42</v>
      </c>
      <c r="AC86">
        <v>6.37</v>
      </c>
      <c r="AD86">
        <v>6.34</v>
      </c>
      <c r="AE86">
        <v>6.32</v>
      </c>
      <c r="AF86">
        <v>6.31</v>
      </c>
      <c r="AG86">
        <v>6.3</v>
      </c>
      <c r="AH86">
        <v>6.26</v>
      </c>
      <c r="AI86">
        <v>6.18</v>
      </c>
      <c r="AJ86">
        <v>6.04</v>
      </c>
      <c r="AK86">
        <v>5.83</v>
      </c>
      <c r="AL86">
        <v>5.57</v>
      </c>
      <c r="AM86">
        <v>5.25</v>
      </c>
      <c r="AN86">
        <v>4.91</v>
      </c>
      <c r="AO86">
        <v>4.5599999999999996</v>
      </c>
      <c r="AP86">
        <v>4.24</v>
      </c>
      <c r="AQ86">
        <v>3.98</v>
      </c>
      <c r="AR86">
        <v>3.81</v>
      </c>
      <c r="AS86">
        <v>3.75</v>
      </c>
      <c r="AT86">
        <v>3.8</v>
      </c>
      <c r="AU86">
        <v>3.99</v>
      </c>
      <c r="AV86">
        <v>4.3099999999999996</v>
      </c>
      <c r="AW86">
        <v>4.72</v>
      </c>
      <c r="AX86">
        <v>5.23</v>
      </c>
      <c r="AY86">
        <v>5.77</v>
      </c>
      <c r="AZ86">
        <v>6.32</v>
      </c>
      <c r="BA86">
        <v>6.83</v>
      </c>
      <c r="BB86">
        <v>7.25</v>
      </c>
      <c r="BC86">
        <v>7.53</v>
      </c>
      <c r="BD86">
        <v>7.65</v>
      </c>
      <c r="BE86">
        <v>7.59</v>
      </c>
      <c r="BF86">
        <v>7.36</v>
      </c>
      <c r="BG86">
        <v>7.02</v>
      </c>
      <c r="BH86">
        <v>6.62</v>
      </c>
      <c r="BI86">
        <v>6.29</v>
      </c>
      <c r="BJ86">
        <v>6.14</v>
      </c>
      <c r="BK86">
        <v>6.27</v>
      </c>
      <c r="BL86">
        <v>6.75</v>
      </c>
      <c r="BM86">
        <v>7.58</v>
      </c>
      <c r="BN86">
        <v>8.7100000000000009</v>
      </c>
      <c r="BO86">
        <v>10</v>
      </c>
      <c r="BP86">
        <v>11.3</v>
      </c>
      <c r="BQ86">
        <v>12.5</v>
      </c>
      <c r="BR86">
        <v>13.3</v>
      </c>
      <c r="BS86">
        <v>13.7</v>
      </c>
      <c r="BT86">
        <v>13.8</v>
      </c>
      <c r="BU86">
        <v>13.4</v>
      </c>
      <c r="BV86">
        <v>12.8</v>
      </c>
      <c r="BW86">
        <v>12</v>
      </c>
      <c r="BX86">
        <v>11.1</v>
      </c>
      <c r="BY86">
        <v>10.1</v>
      </c>
      <c r="BZ86">
        <v>9.27</v>
      </c>
      <c r="CA86">
        <v>8.44</v>
      </c>
      <c r="CB86">
        <v>7.67</v>
      </c>
      <c r="CC86">
        <v>6.95</v>
      </c>
      <c r="CD86">
        <v>6.23</v>
      </c>
      <c r="CE86">
        <v>5.5</v>
      </c>
      <c r="CF86">
        <v>4.7300000000000004</v>
      </c>
      <c r="CG86">
        <v>3.93</v>
      </c>
      <c r="CH86">
        <v>3.1</v>
      </c>
      <c r="CI86">
        <v>2.2799999999999998</v>
      </c>
      <c r="CJ86">
        <v>1.5</v>
      </c>
      <c r="CK86">
        <v>0.84</v>
      </c>
      <c r="CL86">
        <v>0.35</v>
      </c>
      <c r="CM86">
        <v>9.5000000000000001E-2</v>
      </c>
      <c r="CN86">
        <v>9.1999999999999998E-2</v>
      </c>
      <c r="CO86">
        <v>0.35</v>
      </c>
      <c r="CP86">
        <v>0.83</v>
      </c>
      <c r="CQ86">
        <v>1.47</v>
      </c>
      <c r="CR86">
        <v>2.16</v>
      </c>
      <c r="CS86">
        <v>2.76</v>
      </c>
      <c r="CT86">
        <v>3.19</v>
      </c>
      <c r="CU86">
        <v>3.34</v>
      </c>
      <c r="CV86">
        <v>3.21</v>
      </c>
      <c r="CW86">
        <v>2.81</v>
      </c>
      <c r="CX86">
        <v>2.21</v>
      </c>
      <c r="CY86">
        <v>1.55</v>
      </c>
      <c r="CZ86">
        <v>0.97</v>
      </c>
      <c r="DA86">
        <v>0.61</v>
      </c>
      <c r="DB86">
        <v>0.57999999999999996</v>
      </c>
    </row>
    <row r="87" spans="1:106" x14ac:dyDescent="0.25">
      <c r="A87" s="59"/>
      <c r="B87" s="59"/>
      <c r="C87" t="s">
        <v>62</v>
      </c>
      <c r="D87">
        <v>9</v>
      </c>
      <c r="E87" t="s">
        <v>2</v>
      </c>
      <c r="F87">
        <v>10</v>
      </c>
      <c r="G87">
        <v>8.93</v>
      </c>
      <c r="H87">
        <v>7.43</v>
      </c>
      <c r="I87">
        <v>5.54</v>
      </c>
      <c r="J87">
        <v>3.33</v>
      </c>
      <c r="K87">
        <v>0.97</v>
      </c>
      <c r="L87">
        <v>-1.31</v>
      </c>
      <c r="M87">
        <v>-3.33</v>
      </c>
      <c r="N87">
        <v>-4.91</v>
      </c>
      <c r="O87">
        <v>-5.94</v>
      </c>
      <c r="P87">
        <v>-6.39</v>
      </c>
      <c r="Q87">
        <v>-6.3</v>
      </c>
      <c r="R87">
        <v>-5.78</v>
      </c>
      <c r="S87">
        <v>-4.95</v>
      </c>
      <c r="T87">
        <v>-3.97</v>
      </c>
      <c r="U87">
        <v>-2.99</v>
      </c>
      <c r="V87">
        <v>-2.12</v>
      </c>
      <c r="W87">
        <v>-1.41</v>
      </c>
      <c r="X87">
        <v>-0.85</v>
      </c>
      <c r="Y87">
        <v>-0.41</v>
      </c>
      <c r="Z87">
        <v>-4.7E-2</v>
      </c>
      <c r="AA87">
        <v>0.28999999999999998</v>
      </c>
      <c r="AB87">
        <v>0.65</v>
      </c>
      <c r="AC87">
        <v>1.06</v>
      </c>
      <c r="AD87">
        <v>1.52</v>
      </c>
      <c r="AE87">
        <v>2.0099999999999998</v>
      </c>
      <c r="AF87">
        <v>2.5299999999999998</v>
      </c>
      <c r="AG87">
        <v>3.02</v>
      </c>
      <c r="AH87">
        <v>3.47</v>
      </c>
      <c r="AI87">
        <v>3.86</v>
      </c>
      <c r="AJ87">
        <v>4.18</v>
      </c>
      <c r="AK87">
        <v>4.43</v>
      </c>
      <c r="AL87">
        <v>4.63</v>
      </c>
      <c r="AM87">
        <v>4.79</v>
      </c>
      <c r="AN87">
        <v>4.93</v>
      </c>
      <c r="AO87">
        <v>5.07</v>
      </c>
      <c r="AP87">
        <v>5.21</v>
      </c>
      <c r="AQ87">
        <v>5.37</v>
      </c>
      <c r="AR87">
        <v>5.53</v>
      </c>
      <c r="AS87">
        <v>5.69</v>
      </c>
      <c r="AT87">
        <v>5.83</v>
      </c>
      <c r="AU87">
        <v>5.95</v>
      </c>
      <c r="AV87">
        <v>6.05</v>
      </c>
      <c r="AW87">
        <v>6.14</v>
      </c>
      <c r="AX87">
        <v>6.26</v>
      </c>
      <c r="AY87">
        <v>6.42</v>
      </c>
      <c r="AZ87">
        <v>6.68</v>
      </c>
      <c r="BA87">
        <v>7.09</v>
      </c>
      <c r="BB87">
        <v>7.69</v>
      </c>
      <c r="BC87">
        <v>8.51</v>
      </c>
      <c r="BD87">
        <v>9.56</v>
      </c>
      <c r="BE87">
        <v>10.8</v>
      </c>
      <c r="BF87">
        <v>12.1</v>
      </c>
      <c r="BG87">
        <v>13.4</v>
      </c>
      <c r="BH87">
        <v>14.5</v>
      </c>
      <c r="BI87">
        <v>15.2</v>
      </c>
      <c r="BJ87">
        <v>15.5</v>
      </c>
      <c r="BK87">
        <v>15.2</v>
      </c>
      <c r="BL87">
        <v>14.3</v>
      </c>
      <c r="BM87">
        <v>12.9</v>
      </c>
      <c r="BN87">
        <v>11.1</v>
      </c>
      <c r="BO87">
        <v>9.1199999999999992</v>
      </c>
      <c r="BP87">
        <v>7.03</v>
      </c>
      <c r="BQ87">
        <v>5.03</v>
      </c>
      <c r="BR87">
        <v>3.23</v>
      </c>
      <c r="BS87">
        <v>1.71</v>
      </c>
      <c r="BT87">
        <v>0.52</v>
      </c>
      <c r="BU87">
        <v>-0.34</v>
      </c>
      <c r="BV87">
        <v>-0.92</v>
      </c>
      <c r="BW87">
        <v>-1.3</v>
      </c>
      <c r="BX87">
        <v>-1.54</v>
      </c>
      <c r="BY87">
        <v>-1.72</v>
      </c>
      <c r="BZ87">
        <v>-1.9</v>
      </c>
      <c r="CA87">
        <v>-2.12</v>
      </c>
      <c r="CB87">
        <v>-2.38</v>
      </c>
      <c r="CC87">
        <v>-2.7</v>
      </c>
      <c r="CD87">
        <v>-3.03</v>
      </c>
      <c r="CE87">
        <v>-3.35</v>
      </c>
      <c r="CF87">
        <v>-3.59</v>
      </c>
      <c r="CG87">
        <v>-3.72</v>
      </c>
      <c r="CH87">
        <v>-3.7</v>
      </c>
      <c r="CI87">
        <v>-3.5</v>
      </c>
      <c r="CJ87">
        <v>-3.1</v>
      </c>
      <c r="CK87">
        <v>-2.4900000000000002</v>
      </c>
      <c r="CL87">
        <v>-1.66</v>
      </c>
      <c r="CM87">
        <v>-0.65</v>
      </c>
      <c r="CN87">
        <v>0.52</v>
      </c>
      <c r="CO87">
        <v>1.82</v>
      </c>
      <c r="CP87">
        <v>3.19</v>
      </c>
      <c r="CQ87">
        <v>4.58</v>
      </c>
      <c r="CR87">
        <v>5.92</v>
      </c>
      <c r="CS87">
        <v>7.17</v>
      </c>
      <c r="CT87">
        <v>8.2899999999999991</v>
      </c>
      <c r="CU87">
        <v>9.24</v>
      </c>
      <c r="CV87">
        <v>10</v>
      </c>
      <c r="CW87">
        <v>10.6</v>
      </c>
      <c r="CX87">
        <v>10.9</v>
      </c>
      <c r="CY87">
        <v>11</v>
      </c>
      <c r="CZ87">
        <v>10.9</v>
      </c>
      <c r="DA87">
        <v>10.4</v>
      </c>
      <c r="DB87">
        <v>9.5399999999999991</v>
      </c>
    </row>
    <row r="88" spans="1:106" x14ac:dyDescent="0.25">
      <c r="A88" s="59"/>
      <c r="B88" s="59"/>
      <c r="C88" t="s">
        <v>63</v>
      </c>
      <c r="D88">
        <v>9</v>
      </c>
      <c r="E88" t="s">
        <v>2</v>
      </c>
      <c r="F88">
        <v>-12.5</v>
      </c>
      <c r="G88">
        <v>-12</v>
      </c>
      <c r="H88">
        <v>-11.3</v>
      </c>
      <c r="I88">
        <v>-10.4</v>
      </c>
      <c r="J88">
        <v>-9.5500000000000007</v>
      </c>
      <c r="K88">
        <v>-8.69</v>
      </c>
      <c r="L88">
        <v>-7.95</v>
      </c>
      <c r="M88">
        <v>-7.39</v>
      </c>
      <c r="N88">
        <v>-7.04</v>
      </c>
      <c r="O88">
        <v>-6.91</v>
      </c>
      <c r="P88">
        <v>-6.94</v>
      </c>
      <c r="Q88">
        <v>-7.11</v>
      </c>
      <c r="R88">
        <v>-7.35</v>
      </c>
      <c r="S88">
        <v>-7.61</v>
      </c>
      <c r="T88">
        <v>-7.85</v>
      </c>
      <c r="U88">
        <v>-8.07</v>
      </c>
      <c r="V88">
        <v>-8.23</v>
      </c>
      <c r="W88">
        <v>-8.36</v>
      </c>
      <c r="X88">
        <v>-8.4600000000000009</v>
      </c>
      <c r="Y88">
        <v>-8.5299999999999994</v>
      </c>
      <c r="Z88">
        <v>-8.59</v>
      </c>
      <c r="AA88">
        <v>-8.65</v>
      </c>
      <c r="AB88">
        <v>-8.6999999999999993</v>
      </c>
      <c r="AC88">
        <v>-8.76</v>
      </c>
      <c r="AD88">
        <v>-8.83</v>
      </c>
      <c r="AE88">
        <v>-8.92</v>
      </c>
      <c r="AF88">
        <v>-9.01</v>
      </c>
      <c r="AG88">
        <v>-9.1199999999999992</v>
      </c>
      <c r="AH88">
        <v>-9.25</v>
      </c>
      <c r="AI88">
        <v>-9.4</v>
      </c>
      <c r="AJ88">
        <v>-9.58</v>
      </c>
      <c r="AK88">
        <v>-9.7799999999999994</v>
      </c>
      <c r="AL88">
        <v>-10</v>
      </c>
      <c r="AM88">
        <v>-10.3</v>
      </c>
      <c r="AN88">
        <v>-10.5</v>
      </c>
      <c r="AO88">
        <v>-10.8</v>
      </c>
      <c r="AP88">
        <v>-11.1</v>
      </c>
      <c r="AQ88">
        <v>-11.3</v>
      </c>
      <c r="AR88">
        <v>-11.5</v>
      </c>
      <c r="AS88">
        <v>-11.7</v>
      </c>
      <c r="AT88">
        <v>-11.8</v>
      </c>
      <c r="AU88">
        <v>-11.9</v>
      </c>
      <c r="AV88">
        <v>-11.9</v>
      </c>
      <c r="AW88">
        <v>-11.7</v>
      </c>
      <c r="AX88">
        <v>-11.5</v>
      </c>
      <c r="AY88">
        <v>-11.3</v>
      </c>
      <c r="AZ88">
        <v>-10.9</v>
      </c>
      <c r="BA88">
        <v>-10.4</v>
      </c>
      <c r="BB88">
        <v>-9.85</v>
      </c>
      <c r="BC88">
        <v>-9.18</v>
      </c>
      <c r="BD88">
        <v>-8.39</v>
      </c>
      <c r="BE88">
        <v>-7.49</v>
      </c>
      <c r="BF88">
        <v>-6.49</v>
      </c>
      <c r="BG88">
        <v>-5.42</v>
      </c>
      <c r="BH88">
        <v>-4.32</v>
      </c>
      <c r="BI88">
        <v>-3.27</v>
      </c>
      <c r="BJ88">
        <v>-2.35</v>
      </c>
      <c r="BK88">
        <v>-1.64</v>
      </c>
      <c r="BL88">
        <v>-1.21</v>
      </c>
      <c r="BM88">
        <v>-1.1200000000000001</v>
      </c>
      <c r="BN88">
        <v>-1.41</v>
      </c>
      <c r="BO88">
        <v>-2.08</v>
      </c>
      <c r="BP88">
        <v>-3.1</v>
      </c>
      <c r="BQ88">
        <v>-4.43</v>
      </c>
      <c r="BR88">
        <v>-5.99</v>
      </c>
      <c r="BS88">
        <v>-7.68</v>
      </c>
      <c r="BT88">
        <v>-9.41</v>
      </c>
      <c r="BU88">
        <v>-11.1</v>
      </c>
      <c r="BV88">
        <v>-12.6</v>
      </c>
      <c r="BW88">
        <v>-13.9</v>
      </c>
      <c r="BX88">
        <v>-15</v>
      </c>
      <c r="BY88">
        <v>-15.9</v>
      </c>
      <c r="BZ88">
        <v>-16.600000000000001</v>
      </c>
      <c r="CA88">
        <v>-17.2</v>
      </c>
      <c r="CB88">
        <v>-17.600000000000001</v>
      </c>
      <c r="CC88">
        <v>-17.8</v>
      </c>
      <c r="CD88">
        <v>-18</v>
      </c>
      <c r="CE88">
        <v>-18.2</v>
      </c>
      <c r="CF88">
        <v>-18.2</v>
      </c>
      <c r="CG88">
        <v>-18.3</v>
      </c>
      <c r="CH88">
        <v>-18.2</v>
      </c>
      <c r="CI88">
        <v>-18.100000000000001</v>
      </c>
      <c r="CJ88">
        <v>-17.899999999999999</v>
      </c>
      <c r="CK88">
        <v>-17.600000000000001</v>
      </c>
      <c r="CL88">
        <v>-17.3</v>
      </c>
      <c r="CM88">
        <v>-16.899999999999999</v>
      </c>
      <c r="CN88">
        <v>-16.5</v>
      </c>
      <c r="CO88">
        <v>-16</v>
      </c>
      <c r="CP88">
        <v>-15.4</v>
      </c>
      <c r="CQ88">
        <v>-14.8</v>
      </c>
      <c r="CR88">
        <v>-14.3</v>
      </c>
      <c r="CS88">
        <v>-13.8</v>
      </c>
      <c r="CT88">
        <v>-13.4</v>
      </c>
      <c r="CU88">
        <v>-13.1</v>
      </c>
      <c r="CV88">
        <v>-12.8</v>
      </c>
      <c r="CW88">
        <v>-12.7</v>
      </c>
      <c r="CX88">
        <v>-12.6</v>
      </c>
      <c r="CY88">
        <v>-12.5</v>
      </c>
      <c r="CZ88">
        <v>-12.4</v>
      </c>
      <c r="DA88">
        <v>-12.1</v>
      </c>
      <c r="DB88">
        <v>-11.8</v>
      </c>
    </row>
    <row r="89" spans="1:106" x14ac:dyDescent="0.25">
      <c r="A89" s="18"/>
      <c r="B89" s="18"/>
    </row>
    <row r="90" spans="1:106" x14ac:dyDescent="0.25">
      <c r="A90" s="59">
        <v>5</v>
      </c>
      <c r="B90" s="59" t="s">
        <v>51</v>
      </c>
      <c r="C90" t="s">
        <v>52</v>
      </c>
      <c r="D90">
        <v>12</v>
      </c>
      <c r="E90" t="s">
        <v>2</v>
      </c>
      <c r="F90">
        <v>11</v>
      </c>
      <c r="G90">
        <v>11</v>
      </c>
      <c r="H90">
        <v>11</v>
      </c>
      <c r="I90">
        <v>11</v>
      </c>
      <c r="J90">
        <v>11</v>
      </c>
      <c r="K90">
        <v>11</v>
      </c>
      <c r="L90">
        <v>10.9</v>
      </c>
      <c r="M90">
        <v>10.9</v>
      </c>
      <c r="N90">
        <v>10.9</v>
      </c>
      <c r="O90">
        <v>10.9</v>
      </c>
      <c r="P90">
        <v>10.9</v>
      </c>
      <c r="Q90">
        <v>10.8</v>
      </c>
      <c r="R90">
        <v>10.8</v>
      </c>
      <c r="S90">
        <v>10.8</v>
      </c>
      <c r="T90">
        <v>10.8</v>
      </c>
      <c r="U90">
        <v>10.8</v>
      </c>
      <c r="V90">
        <v>10.9</v>
      </c>
      <c r="W90">
        <v>10.9</v>
      </c>
      <c r="X90">
        <v>10.9</v>
      </c>
      <c r="Y90">
        <v>11</v>
      </c>
      <c r="Z90">
        <v>11.1</v>
      </c>
      <c r="AA90">
        <v>11.1</v>
      </c>
      <c r="AB90">
        <v>11.2</v>
      </c>
      <c r="AC90">
        <v>11.3</v>
      </c>
      <c r="AD90">
        <v>11.3</v>
      </c>
      <c r="AE90">
        <v>11.4</v>
      </c>
      <c r="AF90">
        <v>11.4</v>
      </c>
      <c r="AG90">
        <v>11.4</v>
      </c>
      <c r="AH90">
        <v>11.4</v>
      </c>
      <c r="AI90">
        <v>11.4</v>
      </c>
      <c r="AJ90">
        <v>11.4</v>
      </c>
      <c r="AK90">
        <v>11.4</v>
      </c>
      <c r="AL90">
        <v>11.4</v>
      </c>
      <c r="AM90">
        <v>11.4</v>
      </c>
      <c r="AN90">
        <v>11.3</v>
      </c>
      <c r="AO90">
        <v>11.3</v>
      </c>
      <c r="AP90">
        <v>11.3</v>
      </c>
      <c r="AQ90">
        <v>11.2</v>
      </c>
      <c r="AR90">
        <v>11.2</v>
      </c>
      <c r="AS90">
        <v>11.2</v>
      </c>
      <c r="AT90">
        <v>11.2</v>
      </c>
      <c r="AU90">
        <v>11.2</v>
      </c>
      <c r="AV90">
        <v>11.2</v>
      </c>
      <c r="AW90">
        <v>11.2</v>
      </c>
      <c r="AX90">
        <v>11.2</v>
      </c>
      <c r="AY90">
        <v>11.3</v>
      </c>
      <c r="AZ90">
        <v>11.3</v>
      </c>
      <c r="BA90">
        <v>11.3</v>
      </c>
      <c r="BB90">
        <v>11.4</v>
      </c>
      <c r="BC90">
        <v>11.4</v>
      </c>
      <c r="BD90">
        <v>11.4</v>
      </c>
      <c r="BE90">
        <v>11.4</v>
      </c>
      <c r="BF90">
        <v>11.5</v>
      </c>
      <c r="BG90">
        <v>11.5</v>
      </c>
      <c r="BH90">
        <v>11.5</v>
      </c>
      <c r="BI90">
        <v>11.5</v>
      </c>
      <c r="BJ90">
        <v>11.5</v>
      </c>
      <c r="BK90">
        <v>11.4</v>
      </c>
      <c r="BL90">
        <v>11.4</v>
      </c>
      <c r="BM90">
        <v>11.4</v>
      </c>
      <c r="BN90">
        <v>11.4</v>
      </c>
      <c r="BO90">
        <v>11.4</v>
      </c>
      <c r="BP90">
        <v>11.4</v>
      </c>
      <c r="BQ90">
        <v>11.5</v>
      </c>
      <c r="BR90">
        <v>11.5</v>
      </c>
      <c r="BS90">
        <v>11.6</v>
      </c>
      <c r="BT90">
        <v>11.6</v>
      </c>
      <c r="BU90">
        <v>11.7</v>
      </c>
      <c r="BV90">
        <v>11.8</v>
      </c>
      <c r="BW90">
        <v>11.9</v>
      </c>
      <c r="BX90">
        <v>12</v>
      </c>
      <c r="BY90">
        <v>12.1</v>
      </c>
      <c r="BZ90">
        <v>12.1</v>
      </c>
      <c r="CA90">
        <v>12.2</v>
      </c>
      <c r="CB90">
        <v>12.3</v>
      </c>
      <c r="CC90">
        <v>12.3</v>
      </c>
      <c r="CD90">
        <v>12.3</v>
      </c>
      <c r="CE90">
        <v>12.4</v>
      </c>
      <c r="CF90">
        <v>12.4</v>
      </c>
      <c r="CG90">
        <v>12.3</v>
      </c>
      <c r="CH90">
        <v>12.3</v>
      </c>
      <c r="CI90">
        <v>12.3</v>
      </c>
      <c r="CJ90">
        <v>12.2</v>
      </c>
      <c r="CK90">
        <v>12.2</v>
      </c>
      <c r="CL90">
        <v>12.1</v>
      </c>
      <c r="CM90">
        <v>12.1</v>
      </c>
      <c r="CN90">
        <v>12</v>
      </c>
      <c r="CO90">
        <v>12</v>
      </c>
      <c r="CP90">
        <v>11.9</v>
      </c>
      <c r="CQ90">
        <v>11.9</v>
      </c>
      <c r="CR90">
        <v>11.9</v>
      </c>
      <c r="CS90">
        <v>11.9</v>
      </c>
      <c r="CT90">
        <v>11.8</v>
      </c>
      <c r="CU90">
        <v>11.8</v>
      </c>
      <c r="CV90">
        <v>11.8</v>
      </c>
      <c r="CW90">
        <v>11.8</v>
      </c>
      <c r="CX90">
        <v>11.8</v>
      </c>
      <c r="CY90">
        <v>11.8</v>
      </c>
      <c r="CZ90">
        <v>11.8</v>
      </c>
      <c r="DA90">
        <v>11.8</v>
      </c>
      <c r="DB90">
        <v>11.7</v>
      </c>
    </row>
    <row r="91" spans="1:106" x14ac:dyDescent="0.25">
      <c r="A91" s="59"/>
      <c r="B91" s="59"/>
      <c r="C91" t="s">
        <v>53</v>
      </c>
      <c r="D91">
        <v>12</v>
      </c>
      <c r="E91" t="s">
        <v>2</v>
      </c>
      <c r="F91">
        <v>34.5</v>
      </c>
      <c r="G91">
        <v>34.4</v>
      </c>
      <c r="H91">
        <v>34.200000000000003</v>
      </c>
      <c r="I91">
        <v>34</v>
      </c>
      <c r="J91">
        <v>33.700000000000003</v>
      </c>
      <c r="K91">
        <v>33.299999999999997</v>
      </c>
      <c r="L91">
        <v>32.799999999999997</v>
      </c>
      <c r="M91">
        <v>32.299999999999997</v>
      </c>
      <c r="N91">
        <v>31.6</v>
      </c>
      <c r="O91">
        <v>30.8</v>
      </c>
      <c r="P91">
        <v>30</v>
      </c>
      <c r="Q91">
        <v>29.1</v>
      </c>
      <c r="R91">
        <v>28.1</v>
      </c>
      <c r="S91">
        <v>27</v>
      </c>
      <c r="T91">
        <v>25.9</v>
      </c>
      <c r="U91">
        <v>24.6</v>
      </c>
      <c r="V91">
        <v>23.4</v>
      </c>
      <c r="W91">
        <v>22</v>
      </c>
      <c r="X91">
        <v>20.6</v>
      </c>
      <c r="Y91">
        <v>19.2</v>
      </c>
      <c r="Z91">
        <v>17.8</v>
      </c>
      <c r="AA91">
        <v>16.399999999999999</v>
      </c>
      <c r="AB91">
        <v>15</v>
      </c>
      <c r="AC91">
        <v>13.7</v>
      </c>
      <c r="AD91">
        <v>12.3</v>
      </c>
      <c r="AE91">
        <v>11</v>
      </c>
      <c r="AF91">
        <v>9.6199999999999992</v>
      </c>
      <c r="AG91">
        <v>8.2899999999999991</v>
      </c>
      <c r="AH91">
        <v>6.97</v>
      </c>
      <c r="AI91">
        <v>5.65</v>
      </c>
      <c r="AJ91">
        <v>4.34</v>
      </c>
      <c r="AK91">
        <v>3.05</v>
      </c>
      <c r="AL91">
        <v>1.78</v>
      </c>
      <c r="AM91">
        <v>0.53</v>
      </c>
      <c r="AN91">
        <v>-0.68</v>
      </c>
      <c r="AO91">
        <v>-1.85</v>
      </c>
      <c r="AP91">
        <v>-2.99</v>
      </c>
      <c r="AQ91">
        <v>-4.08</v>
      </c>
      <c r="AR91">
        <v>-5.13</v>
      </c>
      <c r="AS91">
        <v>-6.12</v>
      </c>
      <c r="AT91">
        <v>-7.07</v>
      </c>
      <c r="AU91">
        <v>-7.95</v>
      </c>
      <c r="AV91">
        <v>-8.7799999999999994</v>
      </c>
      <c r="AW91">
        <v>-9.5500000000000007</v>
      </c>
      <c r="AX91">
        <v>-10.199999999999999</v>
      </c>
      <c r="AY91">
        <v>-10.9</v>
      </c>
      <c r="AZ91">
        <v>-11.4</v>
      </c>
      <c r="BA91">
        <v>-11.8</v>
      </c>
      <c r="BB91">
        <v>-12.1</v>
      </c>
      <c r="BC91">
        <v>-12.3</v>
      </c>
      <c r="BD91">
        <v>-12.3</v>
      </c>
      <c r="BE91">
        <v>-12.1</v>
      </c>
      <c r="BF91">
        <v>-11.8</v>
      </c>
      <c r="BG91">
        <v>-11.3</v>
      </c>
      <c r="BH91">
        <v>-10.6</v>
      </c>
      <c r="BI91">
        <v>-9.65</v>
      </c>
      <c r="BJ91">
        <v>-8.56</v>
      </c>
      <c r="BK91">
        <v>-7.28</v>
      </c>
      <c r="BL91">
        <v>-5.83</v>
      </c>
      <c r="BM91">
        <v>-4.2</v>
      </c>
      <c r="BN91">
        <v>-2.4</v>
      </c>
      <c r="BO91">
        <v>-0.45</v>
      </c>
      <c r="BP91">
        <v>1.63</v>
      </c>
      <c r="BQ91">
        <v>3.83</v>
      </c>
      <c r="BR91">
        <v>6.11</v>
      </c>
      <c r="BS91">
        <v>8.4499999999999993</v>
      </c>
      <c r="BT91">
        <v>10.8</v>
      </c>
      <c r="BU91">
        <v>13.2</v>
      </c>
      <c r="BV91">
        <v>15.5</v>
      </c>
      <c r="BW91">
        <v>17.8</v>
      </c>
      <c r="BX91">
        <v>20</v>
      </c>
      <c r="BY91">
        <v>22</v>
      </c>
      <c r="BZ91">
        <v>24</v>
      </c>
      <c r="CA91">
        <v>25.8</v>
      </c>
      <c r="CB91">
        <v>27.4</v>
      </c>
      <c r="CC91">
        <v>28.9</v>
      </c>
      <c r="CD91">
        <v>30.3</v>
      </c>
      <c r="CE91">
        <v>31.5</v>
      </c>
      <c r="CF91">
        <v>32.5</v>
      </c>
      <c r="CG91">
        <v>33.4</v>
      </c>
      <c r="CH91">
        <v>34.200000000000003</v>
      </c>
      <c r="CI91">
        <v>34.799999999999997</v>
      </c>
      <c r="CJ91">
        <v>35.299999999999997</v>
      </c>
      <c r="CK91">
        <v>35.700000000000003</v>
      </c>
      <c r="CL91">
        <v>35.9</v>
      </c>
      <c r="CM91">
        <v>36.1</v>
      </c>
      <c r="CN91">
        <v>36.299999999999997</v>
      </c>
      <c r="CO91">
        <v>36.299999999999997</v>
      </c>
      <c r="CP91">
        <v>36.4</v>
      </c>
      <c r="CQ91">
        <v>36.4</v>
      </c>
      <c r="CR91">
        <v>36.4</v>
      </c>
      <c r="CS91">
        <v>36.4</v>
      </c>
      <c r="CT91">
        <v>36.299999999999997</v>
      </c>
      <c r="CU91">
        <v>36.299999999999997</v>
      </c>
      <c r="CV91">
        <v>36.200000000000003</v>
      </c>
      <c r="CW91">
        <v>36.1</v>
      </c>
      <c r="CX91">
        <v>36</v>
      </c>
      <c r="CY91">
        <v>35.9</v>
      </c>
      <c r="CZ91">
        <v>35.700000000000003</v>
      </c>
      <c r="DA91">
        <v>35.5</v>
      </c>
      <c r="DB91">
        <v>35.4</v>
      </c>
    </row>
    <row r="92" spans="1:106" x14ac:dyDescent="0.25">
      <c r="A92" s="59"/>
      <c r="B92" s="59"/>
      <c r="C92" t="s">
        <v>54</v>
      </c>
      <c r="D92">
        <v>12</v>
      </c>
      <c r="E92" t="s">
        <v>2</v>
      </c>
      <c r="F92">
        <v>5.65</v>
      </c>
      <c r="G92">
        <v>6.88</v>
      </c>
      <c r="H92">
        <v>8.23</v>
      </c>
      <c r="I92">
        <v>9.64</v>
      </c>
      <c r="J92">
        <v>11</v>
      </c>
      <c r="K92">
        <v>12.3</v>
      </c>
      <c r="L92">
        <v>13.4</v>
      </c>
      <c r="M92">
        <v>14.4</v>
      </c>
      <c r="N92">
        <v>15.2</v>
      </c>
      <c r="O92">
        <v>15.8</v>
      </c>
      <c r="P92">
        <v>16.2</v>
      </c>
      <c r="Q92">
        <v>16.5</v>
      </c>
      <c r="R92">
        <v>16.600000000000001</v>
      </c>
      <c r="S92">
        <v>16.5</v>
      </c>
      <c r="T92">
        <v>16.2</v>
      </c>
      <c r="U92">
        <v>15.7</v>
      </c>
      <c r="V92">
        <v>15</v>
      </c>
      <c r="W92">
        <v>14.3</v>
      </c>
      <c r="X92">
        <v>13.4</v>
      </c>
      <c r="Y92">
        <v>12.5</v>
      </c>
      <c r="Z92">
        <v>11.5</v>
      </c>
      <c r="AA92">
        <v>10.6</v>
      </c>
      <c r="AB92">
        <v>9.68</v>
      </c>
      <c r="AC92">
        <v>8.7799999999999994</v>
      </c>
      <c r="AD92">
        <v>7.91</v>
      </c>
      <c r="AE92">
        <v>7.06</v>
      </c>
      <c r="AF92">
        <v>6.22</v>
      </c>
      <c r="AG92">
        <v>5.41</v>
      </c>
      <c r="AH92">
        <v>4.62</v>
      </c>
      <c r="AI92">
        <v>3.86</v>
      </c>
      <c r="AJ92">
        <v>3.13</v>
      </c>
      <c r="AK92">
        <v>2.46</v>
      </c>
      <c r="AL92">
        <v>1.85</v>
      </c>
      <c r="AM92">
        <v>1.31</v>
      </c>
      <c r="AN92">
        <v>0.85</v>
      </c>
      <c r="AO92">
        <v>0.47</v>
      </c>
      <c r="AP92">
        <v>0.19</v>
      </c>
      <c r="AQ92">
        <v>-1.2999999999999999E-3</v>
      </c>
      <c r="AR92">
        <v>-8.8999999999999996E-2</v>
      </c>
      <c r="AS92">
        <v>-7.0000000000000007E-2</v>
      </c>
      <c r="AT92">
        <v>0.06</v>
      </c>
      <c r="AU92">
        <v>0.31</v>
      </c>
      <c r="AV92">
        <v>0.68</v>
      </c>
      <c r="AW92">
        <v>1.18</v>
      </c>
      <c r="AX92">
        <v>1.81</v>
      </c>
      <c r="AY92">
        <v>2.57</v>
      </c>
      <c r="AZ92">
        <v>3.48</v>
      </c>
      <c r="BA92">
        <v>4.55</v>
      </c>
      <c r="BB92">
        <v>5.79</v>
      </c>
      <c r="BC92">
        <v>7.22</v>
      </c>
      <c r="BD92">
        <v>8.85</v>
      </c>
      <c r="BE92">
        <v>10.7</v>
      </c>
      <c r="BF92">
        <v>12.7</v>
      </c>
      <c r="BG92">
        <v>15</v>
      </c>
      <c r="BH92">
        <v>17.5</v>
      </c>
      <c r="BI92">
        <v>20.2</v>
      </c>
      <c r="BJ92">
        <v>23</v>
      </c>
      <c r="BK92">
        <v>26.1</v>
      </c>
      <c r="BL92">
        <v>29.2</v>
      </c>
      <c r="BM92">
        <v>32.5</v>
      </c>
      <c r="BN92">
        <v>35.799999999999997</v>
      </c>
      <c r="BO92">
        <v>39.200000000000003</v>
      </c>
      <c r="BP92">
        <v>42.5</v>
      </c>
      <c r="BQ92">
        <v>45.7</v>
      </c>
      <c r="BR92">
        <v>48.7</v>
      </c>
      <c r="BS92">
        <v>51.4</v>
      </c>
      <c r="BT92">
        <v>53.8</v>
      </c>
      <c r="BU92">
        <v>55.8</v>
      </c>
      <c r="BV92">
        <v>57.4</v>
      </c>
      <c r="BW92">
        <v>58.6</v>
      </c>
      <c r="BX92">
        <v>59.3</v>
      </c>
      <c r="BY92">
        <v>59.6</v>
      </c>
      <c r="BZ92">
        <v>59.6</v>
      </c>
      <c r="CA92">
        <v>59.1</v>
      </c>
      <c r="CB92">
        <v>58.2</v>
      </c>
      <c r="CC92">
        <v>57</v>
      </c>
      <c r="CD92">
        <v>55.4</v>
      </c>
      <c r="CE92">
        <v>53.5</v>
      </c>
      <c r="CF92">
        <v>51.3</v>
      </c>
      <c r="CG92">
        <v>48.8</v>
      </c>
      <c r="CH92">
        <v>45.9</v>
      </c>
      <c r="CI92">
        <v>42.8</v>
      </c>
      <c r="CJ92">
        <v>39.5</v>
      </c>
      <c r="CK92">
        <v>36</v>
      </c>
      <c r="CL92">
        <v>32.4</v>
      </c>
      <c r="CM92">
        <v>28.8</v>
      </c>
      <c r="CN92">
        <v>25.1</v>
      </c>
      <c r="CO92">
        <v>21.6</v>
      </c>
      <c r="CP92">
        <v>18.2</v>
      </c>
      <c r="CQ92">
        <v>15.1</v>
      </c>
      <c r="CR92">
        <v>12.3</v>
      </c>
      <c r="CS92">
        <v>9.81</v>
      </c>
      <c r="CT92">
        <v>7.76</v>
      </c>
      <c r="CU92">
        <v>6.14</v>
      </c>
      <c r="CV92">
        <v>4.9800000000000004</v>
      </c>
      <c r="CW92">
        <v>4.26</v>
      </c>
      <c r="CX92">
        <v>3.97</v>
      </c>
      <c r="CY92">
        <v>4.07</v>
      </c>
      <c r="CZ92">
        <v>4.53</v>
      </c>
      <c r="DA92">
        <v>5.32</v>
      </c>
      <c r="DB92">
        <v>6.38</v>
      </c>
    </row>
    <row r="93" spans="1:106" x14ac:dyDescent="0.25">
      <c r="A93" s="59"/>
      <c r="B93" s="59"/>
      <c r="C93" t="s">
        <v>55</v>
      </c>
      <c r="D93">
        <v>12</v>
      </c>
      <c r="E93" t="s">
        <v>2</v>
      </c>
      <c r="F93">
        <v>-2.57</v>
      </c>
      <c r="G93">
        <v>-3.78</v>
      </c>
      <c r="H93">
        <v>-4.79</v>
      </c>
      <c r="I93">
        <v>-5.47</v>
      </c>
      <c r="J93">
        <v>-5.75</v>
      </c>
      <c r="K93">
        <v>-5.64</v>
      </c>
      <c r="L93">
        <v>-5.18</v>
      </c>
      <c r="M93">
        <v>-4.4400000000000004</v>
      </c>
      <c r="N93">
        <v>-3.51</v>
      </c>
      <c r="O93">
        <v>-2.4700000000000002</v>
      </c>
      <c r="P93">
        <v>-1.39</v>
      </c>
      <c r="Q93">
        <v>-0.33</v>
      </c>
      <c r="R93">
        <v>0.67</v>
      </c>
      <c r="S93">
        <v>1.57</v>
      </c>
      <c r="T93">
        <v>2.37</v>
      </c>
      <c r="U93">
        <v>3.08</v>
      </c>
      <c r="V93">
        <v>3.69</v>
      </c>
      <c r="W93">
        <v>4.24</v>
      </c>
      <c r="X93">
        <v>4.72</v>
      </c>
      <c r="Y93">
        <v>5.17</v>
      </c>
      <c r="Z93">
        <v>5.57</v>
      </c>
      <c r="AA93">
        <v>5.96</v>
      </c>
      <c r="AB93">
        <v>6.32</v>
      </c>
      <c r="AC93">
        <v>6.68</v>
      </c>
      <c r="AD93">
        <v>7.02</v>
      </c>
      <c r="AE93">
        <v>7.35</v>
      </c>
      <c r="AF93">
        <v>7.67</v>
      </c>
      <c r="AG93">
        <v>7.99</v>
      </c>
      <c r="AH93">
        <v>8.3000000000000007</v>
      </c>
      <c r="AI93">
        <v>8.6</v>
      </c>
      <c r="AJ93">
        <v>8.91</v>
      </c>
      <c r="AK93">
        <v>9.2200000000000006</v>
      </c>
      <c r="AL93">
        <v>9.5399999999999991</v>
      </c>
      <c r="AM93">
        <v>9.85</v>
      </c>
      <c r="AN93">
        <v>10.199999999999999</v>
      </c>
      <c r="AO93">
        <v>10.5</v>
      </c>
      <c r="AP93">
        <v>10.8</v>
      </c>
      <c r="AQ93">
        <v>11.1</v>
      </c>
      <c r="AR93">
        <v>11.4</v>
      </c>
      <c r="AS93">
        <v>11.6</v>
      </c>
      <c r="AT93">
        <v>11.8</v>
      </c>
      <c r="AU93">
        <v>12</v>
      </c>
      <c r="AV93">
        <v>12.1</v>
      </c>
      <c r="AW93">
        <v>12.1</v>
      </c>
      <c r="AX93">
        <v>12</v>
      </c>
      <c r="AY93">
        <v>11.7</v>
      </c>
      <c r="AZ93">
        <v>11.3</v>
      </c>
      <c r="BA93">
        <v>10.6</v>
      </c>
      <c r="BB93">
        <v>9.59</v>
      </c>
      <c r="BC93">
        <v>8.27</v>
      </c>
      <c r="BD93">
        <v>6.55</v>
      </c>
      <c r="BE93">
        <v>4.37</v>
      </c>
      <c r="BF93">
        <v>1.74</v>
      </c>
      <c r="BG93">
        <v>-1.34</v>
      </c>
      <c r="BH93">
        <v>-4.7699999999999996</v>
      </c>
      <c r="BI93">
        <v>-8.41</v>
      </c>
      <c r="BJ93">
        <v>-12</v>
      </c>
      <c r="BK93">
        <v>-15.4</v>
      </c>
      <c r="BL93">
        <v>-18.399999999999999</v>
      </c>
      <c r="BM93">
        <v>-20.7</v>
      </c>
      <c r="BN93">
        <v>-22.2</v>
      </c>
      <c r="BO93">
        <v>-22.8</v>
      </c>
      <c r="BP93">
        <v>-22.7</v>
      </c>
      <c r="BQ93">
        <v>-22</v>
      </c>
      <c r="BR93">
        <v>-20.6</v>
      </c>
      <c r="BS93">
        <v>-18.899999999999999</v>
      </c>
      <c r="BT93">
        <v>-16.899999999999999</v>
      </c>
      <c r="BU93">
        <v>-14.8</v>
      </c>
      <c r="BV93">
        <v>-12.6</v>
      </c>
      <c r="BW93">
        <v>-10.5</v>
      </c>
      <c r="BX93">
        <v>-8.4499999999999993</v>
      </c>
      <c r="BY93">
        <v>-6.6</v>
      </c>
      <c r="BZ93">
        <v>-4.9400000000000004</v>
      </c>
      <c r="CA93">
        <v>-3.46</v>
      </c>
      <c r="CB93">
        <v>-2.1800000000000002</v>
      </c>
      <c r="CC93">
        <v>-1.07</v>
      </c>
      <c r="CD93">
        <v>-0.14000000000000001</v>
      </c>
      <c r="CE93">
        <v>0.63</v>
      </c>
      <c r="CF93">
        <v>1.24</v>
      </c>
      <c r="CG93">
        <v>1.7</v>
      </c>
      <c r="CH93">
        <v>2.0099999999999998</v>
      </c>
      <c r="CI93">
        <v>2.17</v>
      </c>
      <c r="CJ93">
        <v>2.2000000000000002</v>
      </c>
      <c r="CK93">
        <v>2.11</v>
      </c>
      <c r="CL93">
        <v>1.94</v>
      </c>
      <c r="CM93">
        <v>1.71</v>
      </c>
      <c r="CN93">
        <v>1.48</v>
      </c>
      <c r="CO93">
        <v>1.28</v>
      </c>
      <c r="CP93">
        <v>1.17</v>
      </c>
      <c r="CQ93">
        <v>1.1399999999999999</v>
      </c>
      <c r="CR93">
        <v>1.22</v>
      </c>
      <c r="CS93">
        <v>1.35</v>
      </c>
      <c r="CT93">
        <v>1.51</v>
      </c>
      <c r="CU93">
        <v>1.61</v>
      </c>
      <c r="CV93">
        <v>1.6</v>
      </c>
      <c r="CW93">
        <v>1.39</v>
      </c>
      <c r="CX93">
        <v>0.93</v>
      </c>
      <c r="CY93">
        <v>0.19</v>
      </c>
      <c r="CZ93">
        <v>-0.83</v>
      </c>
      <c r="DA93">
        <v>-2.0499999999999998</v>
      </c>
      <c r="DB93">
        <v>-3.36</v>
      </c>
    </row>
    <row r="94" spans="1:106" x14ac:dyDescent="0.25">
      <c r="A94" s="59"/>
      <c r="B94" s="59"/>
      <c r="C94" t="s">
        <v>56</v>
      </c>
      <c r="D94">
        <v>12</v>
      </c>
      <c r="E94" t="s">
        <v>2</v>
      </c>
      <c r="F94">
        <v>2.83</v>
      </c>
      <c r="G94">
        <v>3.21</v>
      </c>
      <c r="H94">
        <v>3.6</v>
      </c>
      <c r="I94">
        <v>4.0199999999999996</v>
      </c>
      <c r="J94">
        <v>4.4400000000000004</v>
      </c>
      <c r="K94">
        <v>4.87</v>
      </c>
      <c r="L94">
        <v>5.28</v>
      </c>
      <c r="M94">
        <v>5.67</v>
      </c>
      <c r="N94">
        <v>6.03</v>
      </c>
      <c r="O94">
        <v>6.34</v>
      </c>
      <c r="P94">
        <v>6.59</v>
      </c>
      <c r="Q94">
        <v>6.78</v>
      </c>
      <c r="R94">
        <v>6.91</v>
      </c>
      <c r="S94">
        <v>6.96</v>
      </c>
      <c r="T94">
        <v>6.95</v>
      </c>
      <c r="U94">
        <v>6.86</v>
      </c>
      <c r="V94">
        <v>6.72</v>
      </c>
      <c r="W94">
        <v>6.52</v>
      </c>
      <c r="X94">
        <v>6.27</v>
      </c>
      <c r="Y94">
        <v>5.98</v>
      </c>
      <c r="Z94">
        <v>5.65</v>
      </c>
      <c r="AA94">
        <v>5.3</v>
      </c>
      <c r="AB94">
        <v>4.92</v>
      </c>
      <c r="AC94">
        <v>4.53</v>
      </c>
      <c r="AD94">
        <v>4.13</v>
      </c>
      <c r="AE94">
        <v>3.73</v>
      </c>
      <c r="AF94">
        <v>3.33</v>
      </c>
      <c r="AG94">
        <v>2.94</v>
      </c>
      <c r="AH94">
        <v>2.57</v>
      </c>
      <c r="AI94">
        <v>2.21</v>
      </c>
      <c r="AJ94">
        <v>1.88</v>
      </c>
      <c r="AK94">
        <v>1.57</v>
      </c>
      <c r="AL94">
        <v>1.29</v>
      </c>
      <c r="AM94">
        <v>1.05</v>
      </c>
      <c r="AN94">
        <v>0.83</v>
      </c>
      <c r="AO94">
        <v>0.64</v>
      </c>
      <c r="AP94">
        <v>0.48</v>
      </c>
      <c r="AQ94">
        <v>0.35</v>
      </c>
      <c r="AR94">
        <v>0.23</v>
      </c>
      <c r="AS94">
        <v>0.13</v>
      </c>
      <c r="AT94">
        <v>3.1E-2</v>
      </c>
      <c r="AU94">
        <v>-6.6000000000000003E-2</v>
      </c>
      <c r="AV94">
        <v>-0.17</v>
      </c>
      <c r="AW94">
        <v>-0.28999999999999998</v>
      </c>
      <c r="AX94">
        <v>-0.43</v>
      </c>
      <c r="AY94">
        <v>-0.59</v>
      </c>
      <c r="AZ94">
        <v>-0.78</v>
      </c>
      <c r="BA94">
        <v>-1.01</v>
      </c>
      <c r="BB94">
        <v>-1.27</v>
      </c>
      <c r="BC94">
        <v>-1.56</v>
      </c>
      <c r="BD94">
        <v>-1.89</v>
      </c>
      <c r="BE94">
        <v>-2.2400000000000002</v>
      </c>
      <c r="BF94">
        <v>-2.62</v>
      </c>
      <c r="BG94">
        <v>-3.02</v>
      </c>
      <c r="BH94">
        <v>-3.42</v>
      </c>
      <c r="BI94">
        <v>-3.82</v>
      </c>
      <c r="BJ94">
        <v>-4.21</v>
      </c>
      <c r="BK94">
        <v>-4.58</v>
      </c>
      <c r="BL94">
        <v>-4.91</v>
      </c>
      <c r="BM94">
        <v>-5.2</v>
      </c>
      <c r="BN94">
        <v>-5.44</v>
      </c>
      <c r="BO94">
        <v>-5.62</v>
      </c>
      <c r="BP94">
        <v>-5.74</v>
      </c>
      <c r="BQ94">
        <v>-5.8</v>
      </c>
      <c r="BR94">
        <v>-5.79</v>
      </c>
      <c r="BS94">
        <v>-5.73</v>
      </c>
      <c r="BT94">
        <v>-5.6</v>
      </c>
      <c r="BU94">
        <v>-5.42</v>
      </c>
      <c r="BV94">
        <v>-5.19</v>
      </c>
      <c r="BW94">
        <v>-4.92</v>
      </c>
      <c r="BX94">
        <v>-4.6100000000000003</v>
      </c>
      <c r="BY94">
        <v>-4.2699999999999996</v>
      </c>
      <c r="BZ94">
        <v>-3.9</v>
      </c>
      <c r="CA94">
        <v>-3.51</v>
      </c>
      <c r="CB94">
        <v>-3.11</v>
      </c>
      <c r="CC94">
        <v>-2.7</v>
      </c>
      <c r="CD94">
        <v>-2.2999999999999998</v>
      </c>
      <c r="CE94">
        <v>-1.89</v>
      </c>
      <c r="CF94">
        <v>-1.5</v>
      </c>
      <c r="CG94">
        <v>-1.1200000000000001</v>
      </c>
      <c r="CH94">
        <v>-0.77</v>
      </c>
      <c r="CI94">
        <v>-0.44</v>
      </c>
      <c r="CJ94">
        <v>-0.14000000000000001</v>
      </c>
      <c r="CK94">
        <v>0.13</v>
      </c>
      <c r="CL94">
        <v>0.37</v>
      </c>
      <c r="CM94">
        <v>0.56999999999999995</v>
      </c>
      <c r="CN94">
        <v>0.75</v>
      </c>
      <c r="CO94">
        <v>0.89</v>
      </c>
      <c r="CP94">
        <v>1.01</v>
      </c>
      <c r="CQ94">
        <v>1.1200000000000001</v>
      </c>
      <c r="CR94">
        <v>1.21</v>
      </c>
      <c r="CS94">
        <v>1.3</v>
      </c>
      <c r="CT94">
        <v>1.4</v>
      </c>
      <c r="CU94">
        <v>1.51</v>
      </c>
      <c r="CV94">
        <v>1.63</v>
      </c>
      <c r="CW94">
        <v>1.78</v>
      </c>
      <c r="CX94">
        <v>1.95</v>
      </c>
      <c r="CY94">
        <v>2.16</v>
      </c>
      <c r="CZ94">
        <v>2.4</v>
      </c>
      <c r="DA94">
        <v>2.68</v>
      </c>
      <c r="DB94">
        <v>2.98</v>
      </c>
    </row>
    <row r="95" spans="1:106" x14ac:dyDescent="0.25">
      <c r="A95" s="59"/>
      <c r="B95" s="59"/>
      <c r="C95" t="s">
        <v>57</v>
      </c>
      <c r="D95">
        <v>12</v>
      </c>
      <c r="E95" t="s">
        <v>2</v>
      </c>
      <c r="F95">
        <v>4.2999999999999997E-2</v>
      </c>
      <c r="G95">
        <v>0.71</v>
      </c>
      <c r="H95">
        <v>1.45</v>
      </c>
      <c r="I95">
        <v>2.2400000000000002</v>
      </c>
      <c r="J95">
        <v>3.07</v>
      </c>
      <c r="K95">
        <v>3.9</v>
      </c>
      <c r="L95">
        <v>4.72</v>
      </c>
      <c r="M95">
        <v>5.5</v>
      </c>
      <c r="N95">
        <v>6.23</v>
      </c>
      <c r="O95">
        <v>6.89</v>
      </c>
      <c r="P95">
        <v>7.47</v>
      </c>
      <c r="Q95">
        <v>7.96</v>
      </c>
      <c r="R95">
        <v>8.35</v>
      </c>
      <c r="S95">
        <v>8.64</v>
      </c>
      <c r="T95">
        <v>8.82</v>
      </c>
      <c r="U95">
        <v>8.9</v>
      </c>
      <c r="V95">
        <v>8.9</v>
      </c>
      <c r="W95">
        <v>8.83</v>
      </c>
      <c r="X95">
        <v>8.69</v>
      </c>
      <c r="Y95">
        <v>8.51</v>
      </c>
      <c r="Z95">
        <v>8.2899999999999991</v>
      </c>
      <c r="AA95">
        <v>8.0399999999999991</v>
      </c>
      <c r="AB95">
        <v>7.77</v>
      </c>
      <c r="AC95">
        <v>7.48</v>
      </c>
      <c r="AD95">
        <v>7.19</v>
      </c>
      <c r="AE95">
        <v>6.89</v>
      </c>
      <c r="AF95">
        <v>6.59</v>
      </c>
      <c r="AG95">
        <v>6.29</v>
      </c>
      <c r="AH95">
        <v>5.99</v>
      </c>
      <c r="AI95">
        <v>5.71</v>
      </c>
      <c r="AJ95">
        <v>5.43</v>
      </c>
      <c r="AK95">
        <v>5.17</v>
      </c>
      <c r="AL95">
        <v>4.93</v>
      </c>
      <c r="AM95">
        <v>4.7</v>
      </c>
      <c r="AN95">
        <v>4.49</v>
      </c>
      <c r="AO95">
        <v>4.29</v>
      </c>
      <c r="AP95">
        <v>4.1100000000000003</v>
      </c>
      <c r="AQ95">
        <v>3.94</v>
      </c>
      <c r="AR95">
        <v>3.78</v>
      </c>
      <c r="AS95">
        <v>3.62</v>
      </c>
      <c r="AT95">
        <v>3.46</v>
      </c>
      <c r="AU95">
        <v>3.28</v>
      </c>
      <c r="AV95">
        <v>3.08</v>
      </c>
      <c r="AW95">
        <v>2.85</v>
      </c>
      <c r="AX95">
        <v>2.59</v>
      </c>
      <c r="AY95">
        <v>2.29</v>
      </c>
      <c r="AZ95">
        <v>1.94</v>
      </c>
      <c r="BA95">
        <v>1.55</v>
      </c>
      <c r="BB95">
        <v>1.1000000000000001</v>
      </c>
      <c r="BC95">
        <v>0.61</v>
      </c>
      <c r="BD95">
        <v>7.8E-2</v>
      </c>
      <c r="BE95">
        <v>-0.51</v>
      </c>
      <c r="BF95">
        <v>-1.1299999999999999</v>
      </c>
      <c r="BG95">
        <v>-1.79</v>
      </c>
      <c r="BH95">
        <v>-2.48</v>
      </c>
      <c r="BI95">
        <v>-3.17</v>
      </c>
      <c r="BJ95">
        <v>-3.87</v>
      </c>
      <c r="BK95">
        <v>-4.54</v>
      </c>
      <c r="BL95">
        <v>-5.18</v>
      </c>
      <c r="BM95">
        <v>-5.74</v>
      </c>
      <c r="BN95">
        <v>-6.21</v>
      </c>
      <c r="BO95">
        <v>-6.58</v>
      </c>
      <c r="BP95">
        <v>-6.82</v>
      </c>
      <c r="BQ95">
        <v>-6.95</v>
      </c>
      <c r="BR95">
        <v>-6.94</v>
      </c>
      <c r="BS95">
        <v>-6.82</v>
      </c>
      <c r="BT95">
        <v>-6.58</v>
      </c>
      <c r="BU95">
        <v>-6.25</v>
      </c>
      <c r="BV95">
        <v>-5.84</v>
      </c>
      <c r="BW95">
        <v>-5.36</v>
      </c>
      <c r="BX95">
        <v>-4.83</v>
      </c>
      <c r="BY95">
        <v>-4.26</v>
      </c>
      <c r="BZ95">
        <v>-3.68</v>
      </c>
      <c r="CA95">
        <v>-3.1</v>
      </c>
      <c r="CB95">
        <v>-2.5299999999999998</v>
      </c>
      <c r="CC95">
        <v>-1.99</v>
      </c>
      <c r="CD95">
        <v>-1.49</v>
      </c>
      <c r="CE95">
        <v>-1.03</v>
      </c>
      <c r="CF95">
        <v>-0.63</v>
      </c>
      <c r="CG95">
        <v>-0.28999999999999998</v>
      </c>
      <c r="CH95">
        <v>-6.7000000000000002E-3</v>
      </c>
      <c r="CI95">
        <v>0.21</v>
      </c>
      <c r="CJ95">
        <v>0.36</v>
      </c>
      <c r="CK95">
        <v>0.45</v>
      </c>
      <c r="CL95">
        <v>0.48</v>
      </c>
      <c r="CM95">
        <v>0.45</v>
      </c>
      <c r="CN95">
        <v>0.38</v>
      </c>
      <c r="CO95">
        <v>0.26</v>
      </c>
      <c r="CP95">
        <v>0.11</v>
      </c>
      <c r="CQ95">
        <v>-6.0999999999999999E-2</v>
      </c>
      <c r="CR95">
        <v>-0.24</v>
      </c>
      <c r="CS95">
        <v>-0.42</v>
      </c>
      <c r="CT95">
        <v>-0.57999999999999996</v>
      </c>
      <c r="CU95">
        <v>-0.69</v>
      </c>
      <c r="CV95">
        <v>-0.75</v>
      </c>
      <c r="CW95">
        <v>-0.72</v>
      </c>
      <c r="CX95">
        <v>-0.6</v>
      </c>
      <c r="CY95">
        <v>-0.38</v>
      </c>
      <c r="CZ95">
        <v>-5.6000000000000001E-2</v>
      </c>
      <c r="DA95">
        <v>0.37</v>
      </c>
      <c r="DB95">
        <v>0.89</v>
      </c>
    </row>
    <row r="96" spans="1:106" x14ac:dyDescent="0.25">
      <c r="A96" s="59"/>
      <c r="B96" s="59"/>
      <c r="C96" t="s">
        <v>58</v>
      </c>
      <c r="D96">
        <v>12</v>
      </c>
      <c r="E96" t="s">
        <v>2</v>
      </c>
      <c r="F96">
        <v>-0.69</v>
      </c>
      <c r="G96">
        <v>-0.74</v>
      </c>
      <c r="H96">
        <v>-0.73</v>
      </c>
      <c r="I96">
        <v>-0.63</v>
      </c>
      <c r="J96">
        <v>-0.41</v>
      </c>
      <c r="K96">
        <v>-7.8E-2</v>
      </c>
      <c r="L96">
        <v>0.33</v>
      </c>
      <c r="M96">
        <v>0.75</v>
      </c>
      <c r="N96">
        <v>1.1100000000000001</v>
      </c>
      <c r="O96">
        <v>1.36</v>
      </c>
      <c r="P96">
        <v>1.48</v>
      </c>
      <c r="Q96">
        <v>1.45</v>
      </c>
      <c r="R96">
        <v>1.32</v>
      </c>
      <c r="S96">
        <v>1.1200000000000001</v>
      </c>
      <c r="T96">
        <v>0.91</v>
      </c>
      <c r="U96">
        <v>0.73</v>
      </c>
      <c r="V96">
        <v>0.61</v>
      </c>
      <c r="W96">
        <v>0.55000000000000004</v>
      </c>
      <c r="X96">
        <v>0.54</v>
      </c>
      <c r="Y96">
        <v>0.55000000000000004</v>
      </c>
      <c r="Z96">
        <v>0.56999999999999995</v>
      </c>
      <c r="AA96">
        <v>0.59</v>
      </c>
      <c r="AB96">
        <v>0.57999999999999996</v>
      </c>
      <c r="AC96">
        <v>0.54</v>
      </c>
      <c r="AD96">
        <v>0.49</v>
      </c>
      <c r="AE96">
        <v>0.42</v>
      </c>
      <c r="AF96">
        <v>0.33</v>
      </c>
      <c r="AG96">
        <v>0.25</v>
      </c>
      <c r="AH96">
        <v>0.16</v>
      </c>
      <c r="AI96">
        <v>8.7999999999999995E-2</v>
      </c>
      <c r="AJ96">
        <v>2.4E-2</v>
      </c>
      <c r="AK96">
        <v>-2.4E-2</v>
      </c>
      <c r="AL96">
        <v>-5.6000000000000001E-2</v>
      </c>
      <c r="AM96">
        <v>-6.9000000000000006E-2</v>
      </c>
      <c r="AN96">
        <v>-6.7000000000000004E-2</v>
      </c>
      <c r="AO96">
        <v>-5.2999999999999999E-2</v>
      </c>
      <c r="AP96">
        <v>-3.4000000000000002E-2</v>
      </c>
      <c r="AQ96">
        <v>-1.4E-2</v>
      </c>
      <c r="AR96">
        <v>1.5E-3</v>
      </c>
      <c r="AS96">
        <v>7.1000000000000004E-3</v>
      </c>
      <c r="AT96">
        <v>-1E-4</v>
      </c>
      <c r="AU96">
        <v>-2.1999999999999999E-2</v>
      </c>
      <c r="AV96">
        <v>-5.8999999999999997E-2</v>
      </c>
      <c r="AW96">
        <v>-0.11</v>
      </c>
      <c r="AX96">
        <v>-0.18</v>
      </c>
      <c r="AY96">
        <v>-0.26</v>
      </c>
      <c r="AZ96">
        <v>-0.34</v>
      </c>
      <c r="BA96">
        <v>-0.43</v>
      </c>
      <c r="BB96">
        <v>-0.52</v>
      </c>
      <c r="BC96">
        <v>-0.6</v>
      </c>
      <c r="BD96">
        <v>-0.67</v>
      </c>
      <c r="BE96">
        <v>-0.7</v>
      </c>
      <c r="BF96">
        <v>-0.68</v>
      </c>
      <c r="BG96">
        <v>-0.59</v>
      </c>
      <c r="BH96">
        <v>-0.41</v>
      </c>
      <c r="BI96">
        <v>-0.12</v>
      </c>
      <c r="BJ96">
        <v>0.27</v>
      </c>
      <c r="BK96">
        <v>0.75</v>
      </c>
      <c r="BL96">
        <v>1.27</v>
      </c>
      <c r="BM96">
        <v>1.79</v>
      </c>
      <c r="BN96">
        <v>2.21</v>
      </c>
      <c r="BO96">
        <v>2.4700000000000002</v>
      </c>
      <c r="BP96">
        <v>2.5099999999999998</v>
      </c>
      <c r="BQ96">
        <v>2.31</v>
      </c>
      <c r="BR96">
        <v>1.86</v>
      </c>
      <c r="BS96">
        <v>1.2</v>
      </c>
      <c r="BT96">
        <v>0.4</v>
      </c>
      <c r="BU96">
        <v>-0.46</v>
      </c>
      <c r="BV96">
        <v>-1.3</v>
      </c>
      <c r="BW96">
        <v>-2.0299999999999998</v>
      </c>
      <c r="BX96">
        <v>-2.6</v>
      </c>
      <c r="BY96">
        <v>-2.97</v>
      </c>
      <c r="BZ96">
        <v>-3.13</v>
      </c>
      <c r="CA96">
        <v>-3.06</v>
      </c>
      <c r="CB96">
        <v>-2.8</v>
      </c>
      <c r="CC96">
        <v>-2.37</v>
      </c>
      <c r="CD96">
        <v>-1.81</v>
      </c>
      <c r="CE96">
        <v>-1.17</v>
      </c>
      <c r="CF96">
        <v>-0.5</v>
      </c>
      <c r="CG96">
        <v>0.14000000000000001</v>
      </c>
      <c r="CH96">
        <v>0.72</v>
      </c>
      <c r="CI96">
        <v>1.1599999999999999</v>
      </c>
      <c r="CJ96">
        <v>1.45</v>
      </c>
      <c r="CK96">
        <v>1.55</v>
      </c>
      <c r="CL96">
        <v>1.45</v>
      </c>
      <c r="CM96">
        <v>1.1599999999999999</v>
      </c>
      <c r="CN96">
        <v>0.72</v>
      </c>
      <c r="CO96">
        <v>0.2</v>
      </c>
      <c r="CP96">
        <v>-0.34</v>
      </c>
      <c r="CQ96">
        <v>-0.81</v>
      </c>
      <c r="CR96">
        <v>-1.17</v>
      </c>
      <c r="CS96">
        <v>-1.38</v>
      </c>
      <c r="CT96">
        <v>-1.44</v>
      </c>
      <c r="CU96">
        <v>-1.4</v>
      </c>
      <c r="CV96">
        <v>-1.3</v>
      </c>
      <c r="CW96">
        <v>-1.18</v>
      </c>
      <c r="CX96">
        <v>-1.1000000000000001</v>
      </c>
      <c r="CY96">
        <v>-1.06</v>
      </c>
      <c r="CZ96">
        <v>-1.05</v>
      </c>
      <c r="DA96">
        <v>-1.08</v>
      </c>
      <c r="DB96">
        <v>-1.1100000000000001</v>
      </c>
    </row>
    <row r="97" spans="1:106" x14ac:dyDescent="0.25">
      <c r="A97" s="59"/>
      <c r="B97" s="59"/>
      <c r="C97" t="s">
        <v>59</v>
      </c>
      <c r="D97">
        <v>12</v>
      </c>
      <c r="E97" t="s">
        <v>2</v>
      </c>
      <c r="F97">
        <v>6.29</v>
      </c>
      <c r="G97">
        <v>6.15</v>
      </c>
      <c r="H97">
        <v>5.97</v>
      </c>
      <c r="I97">
        <v>5.74</v>
      </c>
      <c r="J97">
        <v>5.5</v>
      </c>
      <c r="K97">
        <v>5.24</v>
      </c>
      <c r="L97">
        <v>4.9800000000000004</v>
      </c>
      <c r="M97">
        <v>4.74</v>
      </c>
      <c r="N97">
        <v>4.5199999999999996</v>
      </c>
      <c r="O97">
        <v>4.33</v>
      </c>
      <c r="P97">
        <v>4.18</v>
      </c>
      <c r="Q97">
        <v>4.07</v>
      </c>
      <c r="R97">
        <v>4</v>
      </c>
      <c r="S97">
        <v>3.96</v>
      </c>
      <c r="T97">
        <v>3.95</v>
      </c>
      <c r="U97">
        <v>3.96</v>
      </c>
      <c r="V97">
        <v>3.98</v>
      </c>
      <c r="W97">
        <v>4</v>
      </c>
      <c r="X97">
        <v>4.01</v>
      </c>
      <c r="Y97">
        <v>4.01</v>
      </c>
      <c r="Z97">
        <v>4</v>
      </c>
      <c r="AA97">
        <v>3.96</v>
      </c>
      <c r="AB97">
        <v>3.89</v>
      </c>
      <c r="AC97">
        <v>3.8</v>
      </c>
      <c r="AD97">
        <v>3.67</v>
      </c>
      <c r="AE97">
        <v>3.52</v>
      </c>
      <c r="AF97">
        <v>3.33</v>
      </c>
      <c r="AG97">
        <v>3.11</v>
      </c>
      <c r="AH97">
        <v>2.85</v>
      </c>
      <c r="AI97">
        <v>2.56</v>
      </c>
      <c r="AJ97">
        <v>2.2400000000000002</v>
      </c>
      <c r="AK97">
        <v>1.89</v>
      </c>
      <c r="AL97">
        <v>1.5</v>
      </c>
      <c r="AM97">
        <v>1.0900000000000001</v>
      </c>
      <c r="AN97">
        <v>0.65</v>
      </c>
      <c r="AO97">
        <v>0.18</v>
      </c>
      <c r="AP97">
        <v>-0.31</v>
      </c>
      <c r="AQ97">
        <v>-0.8</v>
      </c>
      <c r="AR97">
        <v>-1.3</v>
      </c>
      <c r="AS97">
        <v>-1.81</v>
      </c>
      <c r="AT97">
        <v>-2.2999999999999998</v>
      </c>
      <c r="AU97">
        <v>-2.77</v>
      </c>
      <c r="AV97">
        <v>-3.21</v>
      </c>
      <c r="AW97">
        <v>-3.61</v>
      </c>
      <c r="AX97">
        <v>-3.96</v>
      </c>
      <c r="AY97">
        <v>-4.2699999999999996</v>
      </c>
      <c r="AZ97">
        <v>-4.51</v>
      </c>
      <c r="BA97">
        <v>-4.6900000000000004</v>
      </c>
      <c r="BB97">
        <v>-4.8</v>
      </c>
      <c r="BC97">
        <v>-4.8499999999999996</v>
      </c>
      <c r="BD97">
        <v>-4.84</v>
      </c>
      <c r="BE97">
        <v>-4.7699999999999996</v>
      </c>
      <c r="BF97">
        <v>-4.6500000000000004</v>
      </c>
      <c r="BG97">
        <v>-4.49</v>
      </c>
      <c r="BH97">
        <v>-4.3099999999999996</v>
      </c>
      <c r="BI97">
        <v>-4.1100000000000003</v>
      </c>
      <c r="BJ97">
        <v>-3.91</v>
      </c>
      <c r="BK97">
        <v>-3.72</v>
      </c>
      <c r="BL97">
        <v>-3.54</v>
      </c>
      <c r="BM97">
        <v>-3.38</v>
      </c>
      <c r="BN97">
        <v>-3.25</v>
      </c>
      <c r="BO97">
        <v>-3.15</v>
      </c>
      <c r="BP97">
        <v>-3.08</v>
      </c>
      <c r="BQ97">
        <v>-3.04</v>
      </c>
      <c r="BR97">
        <v>-3.01</v>
      </c>
      <c r="BS97">
        <v>-3</v>
      </c>
      <c r="BT97">
        <v>-2.99</v>
      </c>
      <c r="BU97">
        <v>-2.99</v>
      </c>
      <c r="BV97">
        <v>-2.97</v>
      </c>
      <c r="BW97">
        <v>-2.95</v>
      </c>
      <c r="BX97">
        <v>-2.91</v>
      </c>
      <c r="BY97">
        <v>-2.85</v>
      </c>
      <c r="BZ97">
        <v>-2.76</v>
      </c>
      <c r="CA97">
        <v>-2.65</v>
      </c>
      <c r="CB97">
        <v>-2.5099999999999998</v>
      </c>
      <c r="CC97">
        <v>-2.34</v>
      </c>
      <c r="CD97">
        <v>-2.14</v>
      </c>
      <c r="CE97">
        <v>-1.91</v>
      </c>
      <c r="CF97">
        <v>-1.65</v>
      </c>
      <c r="CG97">
        <v>-1.36</v>
      </c>
      <c r="CH97">
        <v>-1.04</v>
      </c>
      <c r="CI97">
        <v>-0.69</v>
      </c>
      <c r="CJ97">
        <v>-0.32</v>
      </c>
      <c r="CK97">
        <v>7.4999999999999997E-2</v>
      </c>
      <c r="CL97">
        <v>0.49</v>
      </c>
      <c r="CM97">
        <v>0.93</v>
      </c>
      <c r="CN97">
        <v>1.38</v>
      </c>
      <c r="CO97">
        <v>1.84</v>
      </c>
      <c r="CP97">
        <v>2.29</v>
      </c>
      <c r="CQ97">
        <v>2.75</v>
      </c>
      <c r="CR97">
        <v>3.19</v>
      </c>
      <c r="CS97">
        <v>3.6</v>
      </c>
      <c r="CT97">
        <v>3.98</v>
      </c>
      <c r="CU97">
        <v>4.33</v>
      </c>
      <c r="CV97">
        <v>4.62</v>
      </c>
      <c r="CW97">
        <v>4.8600000000000003</v>
      </c>
      <c r="CX97">
        <v>5.03</v>
      </c>
      <c r="CY97">
        <v>5.15</v>
      </c>
      <c r="CZ97">
        <v>5.19</v>
      </c>
      <c r="DA97">
        <v>5.18</v>
      </c>
      <c r="DB97">
        <v>5.1100000000000003</v>
      </c>
    </row>
    <row r="98" spans="1:106" x14ac:dyDescent="0.25">
      <c r="A98" s="59"/>
      <c r="B98" s="59"/>
      <c r="C98" t="s">
        <v>60</v>
      </c>
      <c r="D98">
        <v>12</v>
      </c>
      <c r="E98" t="s">
        <v>2</v>
      </c>
      <c r="F98">
        <v>-11.5</v>
      </c>
      <c r="G98">
        <v>-10.4</v>
      </c>
      <c r="H98">
        <v>-9</v>
      </c>
      <c r="I98">
        <v>-7.41</v>
      </c>
      <c r="J98">
        <v>-5.62</v>
      </c>
      <c r="K98">
        <v>-3.7</v>
      </c>
      <c r="L98">
        <v>-1.78</v>
      </c>
      <c r="M98">
        <v>-4.4999999999999998E-2</v>
      </c>
      <c r="N98">
        <v>1.36</v>
      </c>
      <c r="O98">
        <v>2.34</v>
      </c>
      <c r="P98">
        <v>2.86</v>
      </c>
      <c r="Q98">
        <v>2.95</v>
      </c>
      <c r="R98">
        <v>2.74</v>
      </c>
      <c r="S98">
        <v>2.34</v>
      </c>
      <c r="T98">
        <v>1.92</v>
      </c>
      <c r="U98">
        <v>1.61</v>
      </c>
      <c r="V98">
        <v>1.48</v>
      </c>
      <c r="W98">
        <v>1.56</v>
      </c>
      <c r="X98">
        <v>1.85</v>
      </c>
      <c r="Y98">
        <v>2.2999999999999998</v>
      </c>
      <c r="Z98">
        <v>2.83</v>
      </c>
      <c r="AA98">
        <v>3.39</v>
      </c>
      <c r="AB98">
        <v>3.93</v>
      </c>
      <c r="AC98">
        <v>4.4000000000000004</v>
      </c>
      <c r="AD98">
        <v>4.8099999999999996</v>
      </c>
      <c r="AE98">
        <v>5.17</v>
      </c>
      <c r="AF98">
        <v>5.47</v>
      </c>
      <c r="AG98">
        <v>5.75</v>
      </c>
      <c r="AH98">
        <v>6.01</v>
      </c>
      <c r="AI98">
        <v>6.23</v>
      </c>
      <c r="AJ98">
        <v>6.42</v>
      </c>
      <c r="AK98">
        <v>6.56</v>
      </c>
      <c r="AL98">
        <v>6.64</v>
      </c>
      <c r="AM98">
        <v>6.67</v>
      </c>
      <c r="AN98">
        <v>6.64</v>
      </c>
      <c r="AO98">
        <v>6.56</v>
      </c>
      <c r="AP98">
        <v>6.42</v>
      </c>
      <c r="AQ98">
        <v>6.23</v>
      </c>
      <c r="AR98">
        <v>5.99</v>
      </c>
      <c r="AS98">
        <v>5.7</v>
      </c>
      <c r="AT98">
        <v>5.36</v>
      </c>
      <c r="AU98">
        <v>4.99</v>
      </c>
      <c r="AV98">
        <v>4.58</v>
      </c>
      <c r="AW98">
        <v>4.1500000000000004</v>
      </c>
      <c r="AX98">
        <v>3.71</v>
      </c>
      <c r="AY98">
        <v>3.25</v>
      </c>
      <c r="AZ98">
        <v>2.8</v>
      </c>
      <c r="BA98">
        <v>2.34</v>
      </c>
      <c r="BB98">
        <v>1.88</v>
      </c>
      <c r="BC98">
        <v>1.44</v>
      </c>
      <c r="BD98">
        <v>1.02</v>
      </c>
      <c r="BE98">
        <v>0.67</v>
      </c>
      <c r="BF98">
        <v>0.41</v>
      </c>
      <c r="BG98">
        <v>0.28000000000000003</v>
      </c>
      <c r="BH98">
        <v>0.28999999999999998</v>
      </c>
      <c r="BI98">
        <v>0.47</v>
      </c>
      <c r="BJ98">
        <v>0.79</v>
      </c>
      <c r="BK98">
        <v>1.22</v>
      </c>
      <c r="BL98">
        <v>1.69</v>
      </c>
      <c r="BM98">
        <v>2.12</v>
      </c>
      <c r="BN98">
        <v>2.44</v>
      </c>
      <c r="BO98">
        <v>2.58</v>
      </c>
      <c r="BP98">
        <v>2.5</v>
      </c>
      <c r="BQ98">
        <v>2.19</v>
      </c>
      <c r="BR98">
        <v>1.68</v>
      </c>
      <c r="BS98">
        <v>1.01</v>
      </c>
      <c r="BT98">
        <v>0.23</v>
      </c>
      <c r="BU98">
        <v>-0.57999999999999996</v>
      </c>
      <c r="BV98">
        <v>-1.34</v>
      </c>
      <c r="BW98">
        <v>-1.99</v>
      </c>
      <c r="BX98">
        <v>-2.4900000000000002</v>
      </c>
      <c r="BY98">
        <v>-2.81</v>
      </c>
      <c r="BZ98">
        <v>-2.94</v>
      </c>
      <c r="CA98">
        <v>-2.88</v>
      </c>
      <c r="CB98">
        <v>-2.64</v>
      </c>
      <c r="CC98">
        <v>-2.2400000000000002</v>
      </c>
      <c r="CD98">
        <v>-1.73</v>
      </c>
      <c r="CE98">
        <v>-1.1299999999999999</v>
      </c>
      <c r="CF98">
        <v>-0.48</v>
      </c>
      <c r="CG98">
        <v>0.16</v>
      </c>
      <c r="CH98">
        <v>0.77</v>
      </c>
      <c r="CI98">
        <v>1.28</v>
      </c>
      <c r="CJ98">
        <v>1.65</v>
      </c>
      <c r="CK98">
        <v>1.81</v>
      </c>
      <c r="CL98">
        <v>1.72</v>
      </c>
      <c r="CM98">
        <v>1.33</v>
      </c>
      <c r="CN98">
        <v>0.6</v>
      </c>
      <c r="CO98">
        <v>-0.49</v>
      </c>
      <c r="CP98">
        <v>-1.9</v>
      </c>
      <c r="CQ98">
        <v>-3.6</v>
      </c>
      <c r="CR98">
        <v>-5.48</v>
      </c>
      <c r="CS98">
        <v>-7.44</v>
      </c>
      <c r="CT98">
        <v>-9.33</v>
      </c>
      <c r="CU98">
        <v>-11</v>
      </c>
      <c r="CV98">
        <v>-12.3</v>
      </c>
      <c r="CW98">
        <v>-13.2</v>
      </c>
      <c r="CX98">
        <v>-13.7</v>
      </c>
      <c r="CY98">
        <v>-13.7</v>
      </c>
      <c r="CZ98">
        <v>-13.3</v>
      </c>
      <c r="DA98">
        <v>-12.6</v>
      </c>
      <c r="DB98">
        <v>-11.7</v>
      </c>
    </row>
    <row r="99" spans="1:106" x14ac:dyDescent="0.25">
      <c r="A99" s="59"/>
      <c r="B99" s="59"/>
      <c r="C99" t="s">
        <v>61</v>
      </c>
      <c r="D99">
        <v>12</v>
      </c>
      <c r="E99" t="s">
        <v>2</v>
      </c>
      <c r="F99">
        <v>3.67</v>
      </c>
      <c r="G99">
        <v>3.6</v>
      </c>
      <c r="H99">
        <v>3.8</v>
      </c>
      <c r="I99">
        <v>4.18</v>
      </c>
      <c r="J99">
        <v>4.6399999999999997</v>
      </c>
      <c r="K99">
        <v>5.07</v>
      </c>
      <c r="L99">
        <v>5.41</v>
      </c>
      <c r="M99">
        <v>5.62</v>
      </c>
      <c r="N99">
        <v>5.71</v>
      </c>
      <c r="O99">
        <v>5.7</v>
      </c>
      <c r="P99">
        <v>5.61</v>
      </c>
      <c r="Q99">
        <v>5.43</v>
      </c>
      <c r="R99">
        <v>5.19</v>
      </c>
      <c r="S99">
        <v>4.87</v>
      </c>
      <c r="T99">
        <v>4.49</v>
      </c>
      <c r="U99">
        <v>4.07</v>
      </c>
      <c r="V99">
        <v>3.62</v>
      </c>
      <c r="W99">
        <v>3.16</v>
      </c>
      <c r="X99">
        <v>2.73</v>
      </c>
      <c r="Y99">
        <v>2.33</v>
      </c>
      <c r="Z99">
        <v>1.97</v>
      </c>
      <c r="AA99">
        <v>1.67</v>
      </c>
      <c r="AB99">
        <v>1.43</v>
      </c>
      <c r="AC99">
        <v>1.23</v>
      </c>
      <c r="AD99">
        <v>1.06</v>
      </c>
      <c r="AE99">
        <v>0.9</v>
      </c>
      <c r="AF99">
        <v>0.75</v>
      </c>
      <c r="AG99">
        <v>0.59</v>
      </c>
      <c r="AH99">
        <v>0.43</v>
      </c>
      <c r="AI99">
        <v>0.27</v>
      </c>
      <c r="AJ99">
        <v>0.14000000000000001</v>
      </c>
      <c r="AK99">
        <v>3.9E-2</v>
      </c>
      <c r="AL99">
        <v>-5.8999999999999999E-3</v>
      </c>
      <c r="AM99">
        <v>9.1999999999999998E-3</v>
      </c>
      <c r="AN99">
        <v>8.7999999999999995E-2</v>
      </c>
      <c r="AO99">
        <v>0.23</v>
      </c>
      <c r="AP99">
        <v>0.42</v>
      </c>
      <c r="AQ99">
        <v>0.67</v>
      </c>
      <c r="AR99">
        <v>0.96</v>
      </c>
      <c r="AS99">
        <v>1.3</v>
      </c>
      <c r="AT99">
        <v>1.69</v>
      </c>
      <c r="AU99">
        <v>2.14</v>
      </c>
      <c r="AV99">
        <v>2.64</v>
      </c>
      <c r="AW99">
        <v>3.19</v>
      </c>
      <c r="AX99">
        <v>3.76</v>
      </c>
      <c r="AY99">
        <v>4.32</v>
      </c>
      <c r="AZ99">
        <v>4.84</v>
      </c>
      <c r="BA99">
        <v>5.27</v>
      </c>
      <c r="BB99">
        <v>5.56</v>
      </c>
      <c r="BC99">
        <v>5.69</v>
      </c>
      <c r="BD99">
        <v>5.62</v>
      </c>
      <c r="BE99">
        <v>5.35</v>
      </c>
      <c r="BF99">
        <v>4.91</v>
      </c>
      <c r="BG99">
        <v>4.34</v>
      </c>
      <c r="BH99">
        <v>3.71</v>
      </c>
      <c r="BI99">
        <v>3.1</v>
      </c>
      <c r="BJ99">
        <v>2.61</v>
      </c>
      <c r="BK99">
        <v>2.31</v>
      </c>
      <c r="BL99">
        <v>2.2599999999999998</v>
      </c>
      <c r="BM99">
        <v>2.5</v>
      </c>
      <c r="BN99">
        <v>3.04</v>
      </c>
      <c r="BO99">
        <v>3.82</v>
      </c>
      <c r="BP99">
        <v>4.7699999999999996</v>
      </c>
      <c r="BQ99">
        <v>5.77</v>
      </c>
      <c r="BR99">
        <v>6.74</v>
      </c>
      <c r="BS99">
        <v>7.56</v>
      </c>
      <c r="BT99">
        <v>8.2100000000000009</v>
      </c>
      <c r="BU99">
        <v>8.6300000000000008</v>
      </c>
      <c r="BV99">
        <v>8.83</v>
      </c>
      <c r="BW99">
        <v>8.85</v>
      </c>
      <c r="BX99">
        <v>8.7100000000000009</v>
      </c>
      <c r="BY99">
        <v>8.44</v>
      </c>
      <c r="BZ99">
        <v>8.08</v>
      </c>
      <c r="CA99">
        <v>7.66</v>
      </c>
      <c r="CB99">
        <v>7.17</v>
      </c>
      <c r="CC99">
        <v>6.65</v>
      </c>
      <c r="CD99">
        <v>6.07</v>
      </c>
      <c r="CE99">
        <v>5.45</v>
      </c>
      <c r="CF99">
        <v>4.7699999999999996</v>
      </c>
      <c r="CG99">
        <v>4.03</v>
      </c>
      <c r="CH99">
        <v>3.22</v>
      </c>
      <c r="CI99">
        <v>2.37</v>
      </c>
      <c r="CJ99">
        <v>1.51</v>
      </c>
      <c r="CK99">
        <v>0.68</v>
      </c>
      <c r="CL99">
        <v>-4.2000000000000003E-2</v>
      </c>
      <c r="CM99">
        <v>-0.57999999999999996</v>
      </c>
      <c r="CN99">
        <v>-0.87</v>
      </c>
      <c r="CO99">
        <v>-0.84</v>
      </c>
      <c r="CP99">
        <v>-0.47</v>
      </c>
      <c r="CQ99">
        <v>0.22</v>
      </c>
      <c r="CR99">
        <v>1.18</v>
      </c>
      <c r="CS99">
        <v>2.31</v>
      </c>
      <c r="CT99">
        <v>3.47</v>
      </c>
      <c r="CU99">
        <v>4.5199999999999996</v>
      </c>
      <c r="CV99">
        <v>5.35</v>
      </c>
      <c r="CW99">
        <v>5.85</v>
      </c>
      <c r="CX99">
        <v>6.02</v>
      </c>
      <c r="CY99">
        <v>5.88</v>
      </c>
      <c r="CZ99">
        <v>5.52</v>
      </c>
      <c r="DA99">
        <v>5.08</v>
      </c>
      <c r="DB99">
        <v>4.67</v>
      </c>
    </row>
    <row r="100" spans="1:106" x14ac:dyDescent="0.25">
      <c r="A100" s="59"/>
      <c r="B100" s="59"/>
      <c r="C100" t="s">
        <v>62</v>
      </c>
      <c r="D100">
        <v>12</v>
      </c>
      <c r="E100" t="s">
        <v>2</v>
      </c>
      <c r="F100">
        <v>8.77</v>
      </c>
      <c r="G100">
        <v>7.71</v>
      </c>
      <c r="H100">
        <v>6.28</v>
      </c>
      <c r="I100">
        <v>4.54</v>
      </c>
      <c r="J100">
        <v>2.61</v>
      </c>
      <c r="K100">
        <v>0.61</v>
      </c>
      <c r="L100">
        <v>-1.29</v>
      </c>
      <c r="M100">
        <v>-2.94</v>
      </c>
      <c r="N100">
        <v>-4.22</v>
      </c>
      <c r="O100">
        <v>-5.0599999999999996</v>
      </c>
      <c r="P100">
        <v>-5.44</v>
      </c>
      <c r="Q100">
        <v>-5.39</v>
      </c>
      <c r="R100">
        <v>-5</v>
      </c>
      <c r="S100">
        <v>-4.3600000000000003</v>
      </c>
      <c r="T100">
        <v>-3.61</v>
      </c>
      <c r="U100">
        <v>-2.87</v>
      </c>
      <c r="V100">
        <v>-2.2400000000000002</v>
      </c>
      <c r="W100">
        <v>-1.76</v>
      </c>
      <c r="X100">
        <v>-1.46</v>
      </c>
      <c r="Y100">
        <v>-1.31</v>
      </c>
      <c r="Z100">
        <v>-1.28</v>
      </c>
      <c r="AA100">
        <v>-1.31</v>
      </c>
      <c r="AB100">
        <v>-1.37</v>
      </c>
      <c r="AC100">
        <v>-1.4</v>
      </c>
      <c r="AD100">
        <v>-1.4</v>
      </c>
      <c r="AE100">
        <v>-1.34</v>
      </c>
      <c r="AF100">
        <v>-1.24</v>
      </c>
      <c r="AG100">
        <v>-1.1000000000000001</v>
      </c>
      <c r="AH100">
        <v>-0.91</v>
      </c>
      <c r="AI100">
        <v>-0.7</v>
      </c>
      <c r="AJ100">
        <v>-0.47</v>
      </c>
      <c r="AK100">
        <v>-0.23</v>
      </c>
      <c r="AL100">
        <v>1.6E-2</v>
      </c>
      <c r="AM100">
        <v>0.26</v>
      </c>
      <c r="AN100">
        <v>0.49</v>
      </c>
      <c r="AO100">
        <v>0.72</v>
      </c>
      <c r="AP100">
        <v>0.96</v>
      </c>
      <c r="AQ100">
        <v>1.21</v>
      </c>
      <c r="AR100">
        <v>1.47</v>
      </c>
      <c r="AS100">
        <v>1.75</v>
      </c>
      <c r="AT100">
        <v>2.04</v>
      </c>
      <c r="AU100">
        <v>2.33</v>
      </c>
      <c r="AV100">
        <v>2.61</v>
      </c>
      <c r="AW100">
        <v>2.88</v>
      </c>
      <c r="AX100">
        <v>3.15</v>
      </c>
      <c r="AY100">
        <v>3.43</v>
      </c>
      <c r="AZ100">
        <v>3.76</v>
      </c>
      <c r="BA100">
        <v>4.16</v>
      </c>
      <c r="BB100">
        <v>4.6900000000000004</v>
      </c>
      <c r="BC100">
        <v>5.36</v>
      </c>
      <c r="BD100">
        <v>6.19</v>
      </c>
      <c r="BE100">
        <v>7.17</v>
      </c>
      <c r="BF100">
        <v>8.23</v>
      </c>
      <c r="BG100">
        <v>9.3000000000000007</v>
      </c>
      <c r="BH100">
        <v>10.199999999999999</v>
      </c>
      <c r="BI100">
        <v>11</v>
      </c>
      <c r="BJ100">
        <v>11.3</v>
      </c>
      <c r="BK100">
        <v>11.3</v>
      </c>
      <c r="BL100">
        <v>10.9</v>
      </c>
      <c r="BM100">
        <v>10.199999999999999</v>
      </c>
      <c r="BN100">
        <v>9.1199999999999992</v>
      </c>
      <c r="BO100">
        <v>7.84</v>
      </c>
      <c r="BP100">
        <v>6.43</v>
      </c>
      <c r="BQ100">
        <v>4.99</v>
      </c>
      <c r="BR100">
        <v>3.6</v>
      </c>
      <c r="BS100">
        <v>2.33</v>
      </c>
      <c r="BT100">
        <v>1.21</v>
      </c>
      <c r="BU100">
        <v>0.28000000000000003</v>
      </c>
      <c r="BV100">
        <v>-0.45</v>
      </c>
      <c r="BW100">
        <v>-1.01</v>
      </c>
      <c r="BX100">
        <v>-1.41</v>
      </c>
      <c r="BY100">
        <v>-1.67</v>
      </c>
      <c r="BZ100">
        <v>-1.84</v>
      </c>
      <c r="CA100">
        <v>-1.96</v>
      </c>
      <c r="CB100">
        <v>-2.0499999999999998</v>
      </c>
      <c r="CC100">
        <v>-2.13</v>
      </c>
      <c r="CD100">
        <v>-2.21</v>
      </c>
      <c r="CE100">
        <v>-2.29</v>
      </c>
      <c r="CF100">
        <v>-2.34</v>
      </c>
      <c r="CG100">
        <v>-2.35</v>
      </c>
      <c r="CH100">
        <v>-2.27</v>
      </c>
      <c r="CI100">
        <v>-2.0699999999999998</v>
      </c>
      <c r="CJ100">
        <v>-1.73</v>
      </c>
      <c r="CK100">
        <v>-1.23</v>
      </c>
      <c r="CL100">
        <v>-0.56999999999999995</v>
      </c>
      <c r="CM100">
        <v>0.24</v>
      </c>
      <c r="CN100">
        <v>1.17</v>
      </c>
      <c r="CO100">
        <v>2.19</v>
      </c>
      <c r="CP100">
        <v>3.27</v>
      </c>
      <c r="CQ100">
        <v>4.37</v>
      </c>
      <c r="CR100">
        <v>5.43</v>
      </c>
      <c r="CS100">
        <v>6.42</v>
      </c>
      <c r="CT100">
        <v>7.3</v>
      </c>
      <c r="CU100">
        <v>8.0500000000000007</v>
      </c>
      <c r="CV100">
        <v>8.64</v>
      </c>
      <c r="CW100">
        <v>9.06</v>
      </c>
      <c r="CX100">
        <v>9.32</v>
      </c>
      <c r="CY100">
        <v>9.39</v>
      </c>
      <c r="CZ100">
        <v>9.25</v>
      </c>
      <c r="DA100">
        <v>8.85</v>
      </c>
      <c r="DB100">
        <v>8.17</v>
      </c>
    </row>
    <row r="101" spans="1:106" x14ac:dyDescent="0.25">
      <c r="A101" s="59"/>
      <c r="B101" s="59"/>
      <c r="C101" t="s">
        <v>63</v>
      </c>
      <c r="D101">
        <v>12</v>
      </c>
      <c r="E101" t="s">
        <v>2</v>
      </c>
      <c r="F101">
        <v>-8.23</v>
      </c>
      <c r="G101">
        <v>-7.97</v>
      </c>
      <c r="H101">
        <v>-7.64</v>
      </c>
      <c r="I101">
        <v>-7.24</v>
      </c>
      <c r="J101">
        <v>-6.81</v>
      </c>
      <c r="K101">
        <v>-6.38</v>
      </c>
      <c r="L101">
        <v>-6</v>
      </c>
      <c r="M101">
        <v>-5.7</v>
      </c>
      <c r="N101">
        <v>-5.51</v>
      </c>
      <c r="O101">
        <v>-5.42</v>
      </c>
      <c r="P101">
        <v>-5.44</v>
      </c>
      <c r="Q101">
        <v>-5.52</v>
      </c>
      <c r="R101">
        <v>-5.66</v>
      </c>
      <c r="S101">
        <v>-5.82</v>
      </c>
      <c r="T101">
        <v>-5.97</v>
      </c>
      <c r="U101">
        <v>-6.11</v>
      </c>
      <c r="V101">
        <v>-6.23</v>
      </c>
      <c r="W101">
        <v>-6.33</v>
      </c>
      <c r="X101">
        <v>-6.42</v>
      </c>
      <c r="Y101">
        <v>-6.5</v>
      </c>
      <c r="Z101">
        <v>-6.58</v>
      </c>
      <c r="AA101">
        <v>-6.66</v>
      </c>
      <c r="AB101">
        <v>-6.75</v>
      </c>
      <c r="AC101">
        <v>-6.85</v>
      </c>
      <c r="AD101">
        <v>-6.95</v>
      </c>
      <c r="AE101">
        <v>-7.07</v>
      </c>
      <c r="AF101">
        <v>-7.2</v>
      </c>
      <c r="AG101">
        <v>-7.33</v>
      </c>
      <c r="AH101">
        <v>-7.48</v>
      </c>
      <c r="AI101">
        <v>-7.64</v>
      </c>
      <c r="AJ101">
        <v>-7.81</v>
      </c>
      <c r="AK101">
        <v>-8</v>
      </c>
      <c r="AL101">
        <v>-8.2100000000000009</v>
      </c>
      <c r="AM101">
        <v>-8.44</v>
      </c>
      <c r="AN101">
        <v>-8.68</v>
      </c>
      <c r="AO101">
        <v>-8.93</v>
      </c>
      <c r="AP101">
        <v>-9.17</v>
      </c>
      <c r="AQ101">
        <v>-9.41</v>
      </c>
      <c r="AR101">
        <v>-9.6300000000000008</v>
      </c>
      <c r="AS101">
        <v>-9.82</v>
      </c>
      <c r="AT101">
        <v>-9.9499999999999993</v>
      </c>
      <c r="AU101">
        <v>-10</v>
      </c>
      <c r="AV101">
        <v>-10</v>
      </c>
      <c r="AW101">
        <v>-9.99</v>
      </c>
      <c r="AX101">
        <v>-9.86</v>
      </c>
      <c r="AY101">
        <v>-9.65</v>
      </c>
      <c r="AZ101">
        <v>-9.36</v>
      </c>
      <c r="BA101">
        <v>-9</v>
      </c>
      <c r="BB101">
        <v>-8.56</v>
      </c>
      <c r="BC101">
        <v>-8.0500000000000007</v>
      </c>
      <c r="BD101">
        <v>-7.47</v>
      </c>
      <c r="BE101">
        <v>-6.82</v>
      </c>
      <c r="BF101">
        <v>-6.13</v>
      </c>
      <c r="BG101">
        <v>-5.42</v>
      </c>
      <c r="BH101">
        <v>-4.72</v>
      </c>
      <c r="BI101">
        <v>-4.07</v>
      </c>
      <c r="BJ101">
        <v>-3.54</v>
      </c>
      <c r="BK101">
        <v>-3.15</v>
      </c>
      <c r="BL101">
        <v>-2.95</v>
      </c>
      <c r="BM101">
        <v>-2.97</v>
      </c>
      <c r="BN101">
        <v>-3.23</v>
      </c>
      <c r="BO101">
        <v>-3.73</v>
      </c>
      <c r="BP101">
        <v>-4.46</v>
      </c>
      <c r="BQ101">
        <v>-5.39</v>
      </c>
      <c r="BR101">
        <v>-6.46</v>
      </c>
      <c r="BS101">
        <v>-7.63</v>
      </c>
      <c r="BT101">
        <v>-8.83</v>
      </c>
      <c r="BU101">
        <v>-10</v>
      </c>
      <c r="BV101">
        <v>-11.1</v>
      </c>
      <c r="BW101">
        <v>-12.1</v>
      </c>
      <c r="BX101">
        <v>-12.9</v>
      </c>
      <c r="BY101">
        <v>-13.6</v>
      </c>
      <c r="BZ101">
        <v>-14.2</v>
      </c>
      <c r="CA101">
        <v>-14.6</v>
      </c>
      <c r="CB101">
        <v>-14.9</v>
      </c>
      <c r="CC101">
        <v>-15.2</v>
      </c>
      <c r="CD101">
        <v>-15.4</v>
      </c>
      <c r="CE101">
        <v>-15.5</v>
      </c>
      <c r="CF101">
        <v>-15.6</v>
      </c>
      <c r="CG101">
        <v>-15.6</v>
      </c>
      <c r="CH101">
        <v>-15.5</v>
      </c>
      <c r="CI101">
        <v>-15.4</v>
      </c>
      <c r="CJ101">
        <v>-15.2</v>
      </c>
      <c r="CK101">
        <v>-14.9</v>
      </c>
      <c r="CL101">
        <v>-14.5</v>
      </c>
      <c r="CM101">
        <v>-14.1</v>
      </c>
      <c r="CN101">
        <v>-13.6</v>
      </c>
      <c r="CO101">
        <v>-13.1</v>
      </c>
      <c r="CP101">
        <v>-12.5</v>
      </c>
      <c r="CQ101">
        <v>-12</v>
      </c>
      <c r="CR101">
        <v>-11.4</v>
      </c>
      <c r="CS101">
        <v>-10.9</v>
      </c>
      <c r="CT101">
        <v>-10.4</v>
      </c>
      <c r="CU101">
        <v>-10</v>
      </c>
      <c r="CV101">
        <v>-9.66</v>
      </c>
      <c r="CW101">
        <v>-9.3800000000000008</v>
      </c>
      <c r="CX101">
        <v>-9.17</v>
      </c>
      <c r="CY101">
        <v>-9.02</v>
      </c>
      <c r="CZ101">
        <v>-8.91</v>
      </c>
      <c r="DA101">
        <v>-8.83</v>
      </c>
      <c r="DB101">
        <v>-8.73</v>
      </c>
    </row>
    <row r="102" spans="1:106" x14ac:dyDescent="0.25">
      <c r="A102" s="18"/>
      <c r="B102" s="18"/>
    </row>
    <row r="103" spans="1:106" x14ac:dyDescent="0.25">
      <c r="A103" s="59">
        <v>6</v>
      </c>
      <c r="B103" s="59" t="s">
        <v>64</v>
      </c>
      <c r="C103" t="s">
        <v>52</v>
      </c>
      <c r="D103">
        <v>11</v>
      </c>
      <c r="E103" t="s">
        <v>2</v>
      </c>
      <c r="F103">
        <v>7.82</v>
      </c>
      <c r="G103">
        <v>7.71</v>
      </c>
      <c r="H103">
        <v>7.59</v>
      </c>
      <c r="I103">
        <v>7.48</v>
      </c>
      <c r="J103">
        <v>7.36</v>
      </c>
      <c r="K103">
        <v>7.25</v>
      </c>
      <c r="L103">
        <v>7.15</v>
      </c>
      <c r="M103">
        <v>7.06</v>
      </c>
      <c r="N103">
        <v>6.98</v>
      </c>
      <c r="O103">
        <v>6.91</v>
      </c>
      <c r="P103">
        <v>6.86</v>
      </c>
      <c r="Q103">
        <v>6.82</v>
      </c>
      <c r="R103">
        <v>6.79</v>
      </c>
      <c r="S103">
        <v>6.78</v>
      </c>
      <c r="T103">
        <v>6.78</v>
      </c>
      <c r="U103">
        <v>6.79</v>
      </c>
      <c r="V103">
        <v>6.81</v>
      </c>
      <c r="W103">
        <v>6.84</v>
      </c>
      <c r="X103">
        <v>6.87</v>
      </c>
      <c r="Y103">
        <v>6.91</v>
      </c>
      <c r="Z103">
        <v>6.96</v>
      </c>
      <c r="AA103">
        <v>7.01</v>
      </c>
      <c r="AB103">
        <v>7.07</v>
      </c>
      <c r="AC103">
        <v>7.12</v>
      </c>
      <c r="AD103">
        <v>7.18</v>
      </c>
      <c r="AE103">
        <v>7.24</v>
      </c>
      <c r="AF103">
        <v>7.29</v>
      </c>
      <c r="AG103">
        <v>7.35</v>
      </c>
      <c r="AH103">
        <v>7.41</v>
      </c>
      <c r="AI103">
        <v>7.46</v>
      </c>
      <c r="AJ103">
        <v>7.52</v>
      </c>
      <c r="AK103">
        <v>7.57</v>
      </c>
      <c r="AL103">
        <v>7.62</v>
      </c>
      <c r="AM103">
        <v>7.68</v>
      </c>
      <c r="AN103">
        <v>7.73</v>
      </c>
      <c r="AO103">
        <v>7.78</v>
      </c>
      <c r="AP103">
        <v>7.83</v>
      </c>
      <c r="AQ103">
        <v>7.87</v>
      </c>
      <c r="AR103">
        <v>7.91</v>
      </c>
      <c r="AS103">
        <v>7.94</v>
      </c>
      <c r="AT103">
        <v>7.96</v>
      </c>
      <c r="AU103">
        <v>7.97</v>
      </c>
      <c r="AV103">
        <v>7.97</v>
      </c>
      <c r="AW103">
        <v>7.94</v>
      </c>
      <c r="AX103">
        <v>7.9</v>
      </c>
      <c r="AY103">
        <v>7.85</v>
      </c>
      <c r="AZ103">
        <v>7.77</v>
      </c>
      <c r="BA103">
        <v>7.68</v>
      </c>
      <c r="BB103">
        <v>7.57</v>
      </c>
      <c r="BC103">
        <v>7.46</v>
      </c>
      <c r="BD103">
        <v>7.33</v>
      </c>
      <c r="BE103">
        <v>7.2</v>
      </c>
      <c r="BF103">
        <v>7.07</v>
      </c>
      <c r="BG103">
        <v>6.94</v>
      </c>
      <c r="BH103">
        <v>6.82</v>
      </c>
      <c r="BI103">
        <v>6.72</v>
      </c>
      <c r="BJ103">
        <v>6.62</v>
      </c>
      <c r="BK103">
        <v>6.54</v>
      </c>
      <c r="BL103">
        <v>6.48</v>
      </c>
      <c r="BM103">
        <v>6.43</v>
      </c>
      <c r="BN103">
        <v>6.4</v>
      </c>
      <c r="BO103">
        <v>6.38</v>
      </c>
      <c r="BP103">
        <v>6.38</v>
      </c>
      <c r="BQ103">
        <v>6.38</v>
      </c>
      <c r="BR103">
        <v>6.4</v>
      </c>
      <c r="BS103">
        <v>6.43</v>
      </c>
      <c r="BT103">
        <v>6.46</v>
      </c>
      <c r="BU103">
        <v>6.49</v>
      </c>
      <c r="BV103">
        <v>6.53</v>
      </c>
      <c r="BW103">
        <v>6.58</v>
      </c>
      <c r="BX103">
        <v>6.62</v>
      </c>
      <c r="BY103">
        <v>6.67</v>
      </c>
      <c r="BZ103">
        <v>6.72</v>
      </c>
      <c r="CA103">
        <v>6.77</v>
      </c>
      <c r="CB103">
        <v>6.82</v>
      </c>
      <c r="CC103">
        <v>6.87</v>
      </c>
      <c r="CD103">
        <v>6.93</v>
      </c>
      <c r="CE103">
        <v>6.99</v>
      </c>
      <c r="CF103">
        <v>7.06</v>
      </c>
      <c r="CG103">
        <v>7.13</v>
      </c>
      <c r="CH103">
        <v>7.21</v>
      </c>
      <c r="CI103">
        <v>7.3</v>
      </c>
      <c r="CJ103">
        <v>7.39</v>
      </c>
      <c r="CK103">
        <v>7.49</v>
      </c>
      <c r="CL103">
        <v>7.6</v>
      </c>
      <c r="CM103">
        <v>7.7</v>
      </c>
      <c r="CN103">
        <v>7.81</v>
      </c>
      <c r="CO103">
        <v>7.92</v>
      </c>
      <c r="CP103">
        <v>8.02</v>
      </c>
      <c r="CQ103">
        <v>8.11</v>
      </c>
      <c r="CR103">
        <v>8.19</v>
      </c>
      <c r="CS103">
        <v>8.25</v>
      </c>
      <c r="CT103">
        <v>8.2899999999999991</v>
      </c>
      <c r="CU103">
        <v>8.31</v>
      </c>
      <c r="CV103">
        <v>8.31</v>
      </c>
      <c r="CW103">
        <v>8.2799999999999994</v>
      </c>
      <c r="CX103">
        <v>8.24</v>
      </c>
      <c r="CY103">
        <v>8.17</v>
      </c>
      <c r="CZ103">
        <v>8.09</v>
      </c>
      <c r="DA103">
        <v>7.99</v>
      </c>
      <c r="DB103">
        <v>7.88</v>
      </c>
    </row>
    <row r="104" spans="1:106" x14ac:dyDescent="0.25">
      <c r="A104" s="59"/>
      <c r="B104" s="59"/>
      <c r="C104" t="s">
        <v>53</v>
      </c>
      <c r="D104">
        <v>11</v>
      </c>
      <c r="E104" t="s">
        <v>2</v>
      </c>
      <c r="F104">
        <v>32.299999999999997</v>
      </c>
      <c r="G104">
        <v>32.299999999999997</v>
      </c>
      <c r="H104">
        <v>32.4</v>
      </c>
      <c r="I104">
        <v>32.4</v>
      </c>
      <c r="J104">
        <v>32.299999999999997</v>
      </c>
      <c r="K104">
        <v>32.1</v>
      </c>
      <c r="L104">
        <v>31.8</v>
      </c>
      <c r="M104">
        <v>31.4</v>
      </c>
      <c r="N104">
        <v>30.8</v>
      </c>
      <c r="O104">
        <v>30.2</v>
      </c>
      <c r="P104">
        <v>29.4</v>
      </c>
      <c r="Q104">
        <v>28.6</v>
      </c>
      <c r="R104">
        <v>27.7</v>
      </c>
      <c r="S104">
        <v>26.8</v>
      </c>
      <c r="T104">
        <v>25.8</v>
      </c>
      <c r="U104">
        <v>24.6</v>
      </c>
      <c r="V104">
        <v>23.5</v>
      </c>
      <c r="W104">
        <v>22.2</v>
      </c>
      <c r="X104">
        <v>20.9</v>
      </c>
      <c r="Y104">
        <v>19.600000000000001</v>
      </c>
      <c r="Z104">
        <v>18.3</v>
      </c>
      <c r="AA104">
        <v>17</v>
      </c>
      <c r="AB104">
        <v>15.7</v>
      </c>
      <c r="AC104">
        <v>14.4</v>
      </c>
      <c r="AD104">
        <v>13.1</v>
      </c>
      <c r="AE104">
        <v>11.9</v>
      </c>
      <c r="AF104">
        <v>10.7</v>
      </c>
      <c r="AG104">
        <v>9.4499999999999993</v>
      </c>
      <c r="AH104">
        <v>8.24</v>
      </c>
      <c r="AI104">
        <v>7.04</v>
      </c>
      <c r="AJ104">
        <v>5.85</v>
      </c>
      <c r="AK104">
        <v>4.67</v>
      </c>
      <c r="AL104">
        <v>3.5</v>
      </c>
      <c r="AM104">
        <v>2.34</v>
      </c>
      <c r="AN104">
        <v>1.2</v>
      </c>
      <c r="AO104">
        <v>8.4000000000000005E-2</v>
      </c>
      <c r="AP104">
        <v>-1.01</v>
      </c>
      <c r="AQ104">
        <v>-2.0699999999999998</v>
      </c>
      <c r="AR104">
        <v>-3.09</v>
      </c>
      <c r="AS104">
        <v>-4.08</v>
      </c>
      <c r="AT104">
        <v>-5.0199999999999996</v>
      </c>
      <c r="AU104">
        <v>-5.92</v>
      </c>
      <c r="AV104">
        <v>-6.77</v>
      </c>
      <c r="AW104">
        <v>-7.57</v>
      </c>
      <c r="AX104">
        <v>-8.3000000000000007</v>
      </c>
      <c r="AY104">
        <v>-8.9700000000000006</v>
      </c>
      <c r="AZ104">
        <v>-9.5500000000000007</v>
      </c>
      <c r="BA104">
        <v>-10</v>
      </c>
      <c r="BB104">
        <v>-10.4</v>
      </c>
      <c r="BC104">
        <v>-10.6</v>
      </c>
      <c r="BD104">
        <v>-10.7</v>
      </c>
      <c r="BE104">
        <v>-10.7</v>
      </c>
      <c r="BF104">
        <v>-10.4</v>
      </c>
      <c r="BG104">
        <v>-9.99</v>
      </c>
      <c r="BH104">
        <v>-9.3699999999999992</v>
      </c>
      <c r="BI104">
        <v>-8.56</v>
      </c>
      <c r="BJ104">
        <v>-7.56</v>
      </c>
      <c r="BK104">
        <v>-6.36</v>
      </c>
      <c r="BL104">
        <v>-4.9800000000000004</v>
      </c>
      <c r="BM104">
        <v>-3.41</v>
      </c>
      <c r="BN104">
        <v>-1.68</v>
      </c>
      <c r="BO104">
        <v>0.2</v>
      </c>
      <c r="BP104">
        <v>2.2000000000000002</v>
      </c>
      <c r="BQ104">
        <v>4.29</v>
      </c>
      <c r="BR104">
        <v>6.43</v>
      </c>
      <c r="BS104">
        <v>8.59</v>
      </c>
      <c r="BT104">
        <v>10.7</v>
      </c>
      <c r="BU104">
        <v>12.8</v>
      </c>
      <c r="BV104">
        <v>14.8</v>
      </c>
      <c r="BW104">
        <v>16.8</v>
      </c>
      <c r="BX104">
        <v>18.600000000000001</v>
      </c>
      <c r="BY104">
        <v>20.3</v>
      </c>
      <c r="BZ104">
        <v>21.9</v>
      </c>
      <c r="CA104">
        <v>23.3</v>
      </c>
      <c r="CB104">
        <v>24.7</v>
      </c>
      <c r="CC104">
        <v>25.9</v>
      </c>
      <c r="CD104">
        <v>27</v>
      </c>
      <c r="CE104">
        <v>28</v>
      </c>
      <c r="CF104">
        <v>28.9</v>
      </c>
      <c r="CG104">
        <v>29.7</v>
      </c>
      <c r="CH104">
        <v>30.4</v>
      </c>
      <c r="CI104">
        <v>30.9</v>
      </c>
      <c r="CJ104">
        <v>31.4</v>
      </c>
      <c r="CK104">
        <v>31.8</v>
      </c>
      <c r="CL104">
        <v>32.1</v>
      </c>
      <c r="CM104">
        <v>32.299999999999997</v>
      </c>
      <c r="CN104">
        <v>32.5</v>
      </c>
      <c r="CO104">
        <v>32.6</v>
      </c>
      <c r="CP104">
        <v>32.700000000000003</v>
      </c>
      <c r="CQ104">
        <v>32.799999999999997</v>
      </c>
      <c r="CR104">
        <v>32.9</v>
      </c>
      <c r="CS104">
        <v>32.9</v>
      </c>
      <c r="CT104">
        <v>32.9</v>
      </c>
      <c r="CU104">
        <v>32.9</v>
      </c>
      <c r="CV104">
        <v>32.799999999999997</v>
      </c>
      <c r="CW104">
        <v>32.799999999999997</v>
      </c>
      <c r="CX104">
        <v>32.700000000000003</v>
      </c>
      <c r="CY104">
        <v>32.6</v>
      </c>
      <c r="CZ104">
        <v>32.6</v>
      </c>
      <c r="DA104">
        <v>32.5</v>
      </c>
      <c r="DB104">
        <v>32.5</v>
      </c>
    </row>
    <row r="105" spans="1:106" x14ac:dyDescent="0.25">
      <c r="A105" s="59"/>
      <c r="B105" s="59"/>
      <c r="C105" t="s">
        <v>54</v>
      </c>
      <c r="D105">
        <v>11</v>
      </c>
      <c r="E105" t="s">
        <v>2</v>
      </c>
      <c r="F105">
        <v>7.06</v>
      </c>
      <c r="G105">
        <v>8.85</v>
      </c>
      <c r="H105">
        <v>10.8</v>
      </c>
      <c r="I105">
        <v>12.7</v>
      </c>
      <c r="J105">
        <v>14.7</v>
      </c>
      <c r="K105">
        <v>16.399999999999999</v>
      </c>
      <c r="L105">
        <v>18</v>
      </c>
      <c r="M105">
        <v>19.3</v>
      </c>
      <c r="N105">
        <v>20.399999999999999</v>
      </c>
      <c r="O105">
        <v>21.2</v>
      </c>
      <c r="P105">
        <v>21.8</v>
      </c>
      <c r="Q105">
        <v>22.2</v>
      </c>
      <c r="R105">
        <v>22.5</v>
      </c>
      <c r="S105">
        <v>22.5</v>
      </c>
      <c r="T105">
        <v>22.4</v>
      </c>
      <c r="U105">
        <v>22</v>
      </c>
      <c r="V105">
        <v>21.5</v>
      </c>
      <c r="W105">
        <v>20.9</v>
      </c>
      <c r="X105">
        <v>20.2</v>
      </c>
      <c r="Y105">
        <v>19.399999999999999</v>
      </c>
      <c r="Z105">
        <v>18.5</v>
      </c>
      <c r="AA105">
        <v>17.600000000000001</v>
      </c>
      <c r="AB105">
        <v>16.7</v>
      </c>
      <c r="AC105">
        <v>15.9</v>
      </c>
      <c r="AD105">
        <v>15</v>
      </c>
      <c r="AE105">
        <v>14.2</v>
      </c>
      <c r="AF105">
        <v>13.3</v>
      </c>
      <c r="AG105">
        <v>12.5</v>
      </c>
      <c r="AH105">
        <v>11.7</v>
      </c>
      <c r="AI105">
        <v>10.9</v>
      </c>
      <c r="AJ105">
        <v>10.1</v>
      </c>
      <c r="AK105">
        <v>9.39</v>
      </c>
      <c r="AL105">
        <v>8.67</v>
      </c>
      <c r="AM105">
        <v>8</v>
      </c>
      <c r="AN105">
        <v>7.38</v>
      </c>
      <c r="AO105">
        <v>6.83</v>
      </c>
      <c r="AP105">
        <v>6.34</v>
      </c>
      <c r="AQ105">
        <v>5.95</v>
      </c>
      <c r="AR105">
        <v>5.66</v>
      </c>
      <c r="AS105">
        <v>5.48</v>
      </c>
      <c r="AT105">
        <v>5.43</v>
      </c>
      <c r="AU105">
        <v>5.51</v>
      </c>
      <c r="AV105">
        <v>5.75</v>
      </c>
      <c r="AW105">
        <v>6.14</v>
      </c>
      <c r="AX105">
        <v>6.72</v>
      </c>
      <c r="AY105">
        <v>7.47</v>
      </c>
      <c r="AZ105">
        <v>8.43</v>
      </c>
      <c r="BA105">
        <v>9.58</v>
      </c>
      <c r="BB105">
        <v>11</v>
      </c>
      <c r="BC105">
        <v>12.5</v>
      </c>
      <c r="BD105">
        <v>14.4</v>
      </c>
      <c r="BE105">
        <v>16.399999999999999</v>
      </c>
      <c r="BF105">
        <v>18.600000000000001</v>
      </c>
      <c r="BG105">
        <v>21</v>
      </c>
      <c r="BH105">
        <v>23.7</v>
      </c>
      <c r="BI105">
        <v>26.4</v>
      </c>
      <c r="BJ105">
        <v>29.4</v>
      </c>
      <c r="BK105">
        <v>32.5</v>
      </c>
      <c r="BL105">
        <v>35.700000000000003</v>
      </c>
      <c r="BM105">
        <v>39.1</v>
      </c>
      <c r="BN105">
        <v>42.5</v>
      </c>
      <c r="BO105">
        <v>45.9</v>
      </c>
      <c r="BP105">
        <v>49.2</v>
      </c>
      <c r="BQ105">
        <v>52.4</v>
      </c>
      <c r="BR105">
        <v>55.3</v>
      </c>
      <c r="BS105">
        <v>57.8</v>
      </c>
      <c r="BT105">
        <v>59.9</v>
      </c>
      <c r="BU105">
        <v>61.6</v>
      </c>
      <c r="BV105">
        <v>62.8</v>
      </c>
      <c r="BW105">
        <v>63.6</v>
      </c>
      <c r="BX105">
        <v>63.9</v>
      </c>
      <c r="BY105">
        <v>63.8</v>
      </c>
      <c r="BZ105">
        <v>63.2</v>
      </c>
      <c r="CA105">
        <v>62.3</v>
      </c>
      <c r="CB105">
        <v>61.1</v>
      </c>
      <c r="CC105">
        <v>59.5</v>
      </c>
      <c r="CD105">
        <v>57.5</v>
      </c>
      <c r="CE105">
        <v>55.2</v>
      </c>
      <c r="CF105">
        <v>52.7</v>
      </c>
      <c r="CG105">
        <v>49.8</v>
      </c>
      <c r="CH105">
        <v>46.7</v>
      </c>
      <c r="CI105">
        <v>43.3</v>
      </c>
      <c r="CJ105">
        <v>39.799999999999997</v>
      </c>
      <c r="CK105">
        <v>36.1</v>
      </c>
      <c r="CL105">
        <v>32.299999999999997</v>
      </c>
      <c r="CM105">
        <v>28.5</v>
      </c>
      <c r="CN105">
        <v>24.7</v>
      </c>
      <c r="CO105">
        <v>21.1</v>
      </c>
      <c r="CP105">
        <v>17.5</v>
      </c>
      <c r="CQ105">
        <v>14.3</v>
      </c>
      <c r="CR105">
        <v>11.3</v>
      </c>
      <c r="CS105">
        <v>8.76</v>
      </c>
      <c r="CT105">
        <v>6.66</v>
      </c>
      <c r="CU105">
        <v>5.0599999999999996</v>
      </c>
      <c r="CV105">
        <v>3.97</v>
      </c>
      <c r="CW105">
        <v>3.39</v>
      </c>
      <c r="CX105">
        <v>3.32</v>
      </c>
      <c r="CY105">
        <v>3.72</v>
      </c>
      <c r="CZ105">
        <v>4.55</v>
      </c>
      <c r="DA105">
        <v>5.75</v>
      </c>
      <c r="DB105">
        <v>7.24</v>
      </c>
    </row>
    <row r="106" spans="1:106" x14ac:dyDescent="0.25">
      <c r="A106" s="59"/>
      <c r="B106" s="59"/>
      <c r="C106" t="s">
        <v>55</v>
      </c>
      <c r="D106">
        <v>11</v>
      </c>
      <c r="E106" t="s">
        <v>2</v>
      </c>
      <c r="F106">
        <v>-1.83</v>
      </c>
      <c r="G106">
        <v>-2.99</v>
      </c>
      <c r="H106">
        <v>-3.94</v>
      </c>
      <c r="I106">
        <v>-4.55</v>
      </c>
      <c r="J106">
        <v>-4.74</v>
      </c>
      <c r="K106">
        <v>-4.5199999999999996</v>
      </c>
      <c r="L106">
        <v>-3.95</v>
      </c>
      <c r="M106">
        <v>-3.12</v>
      </c>
      <c r="N106">
        <v>-2.1</v>
      </c>
      <c r="O106">
        <v>-0.98</v>
      </c>
      <c r="P106">
        <v>0.17</v>
      </c>
      <c r="Q106">
        <v>1.29</v>
      </c>
      <c r="R106">
        <v>2.34</v>
      </c>
      <c r="S106">
        <v>3.3</v>
      </c>
      <c r="T106">
        <v>4.16</v>
      </c>
      <c r="U106">
        <v>4.91</v>
      </c>
      <c r="V106">
        <v>5.57</v>
      </c>
      <c r="W106">
        <v>6.14</v>
      </c>
      <c r="X106">
        <v>6.64</v>
      </c>
      <c r="Y106">
        <v>7.08</v>
      </c>
      <c r="Z106">
        <v>7.48</v>
      </c>
      <c r="AA106">
        <v>7.85</v>
      </c>
      <c r="AB106">
        <v>8.19</v>
      </c>
      <c r="AC106">
        <v>8.51</v>
      </c>
      <c r="AD106">
        <v>8.83</v>
      </c>
      <c r="AE106">
        <v>9.14</v>
      </c>
      <c r="AF106">
        <v>9.43</v>
      </c>
      <c r="AG106">
        <v>9.73</v>
      </c>
      <c r="AH106">
        <v>10</v>
      </c>
      <c r="AI106">
        <v>10.3</v>
      </c>
      <c r="AJ106">
        <v>10.6</v>
      </c>
      <c r="AK106">
        <v>10.8</v>
      </c>
      <c r="AL106">
        <v>11.1</v>
      </c>
      <c r="AM106">
        <v>11.4</v>
      </c>
      <c r="AN106">
        <v>11.6</v>
      </c>
      <c r="AO106">
        <v>11.9</v>
      </c>
      <c r="AP106">
        <v>12.2</v>
      </c>
      <c r="AQ106">
        <v>12.4</v>
      </c>
      <c r="AR106">
        <v>12.7</v>
      </c>
      <c r="AS106">
        <v>12.9</v>
      </c>
      <c r="AT106">
        <v>13.2</v>
      </c>
      <c r="AU106">
        <v>13.4</v>
      </c>
      <c r="AV106">
        <v>13.6</v>
      </c>
      <c r="AW106">
        <v>13.8</v>
      </c>
      <c r="AX106">
        <v>13.9</v>
      </c>
      <c r="AY106">
        <v>13.9</v>
      </c>
      <c r="AZ106">
        <v>13.8</v>
      </c>
      <c r="BA106">
        <v>13.6</v>
      </c>
      <c r="BB106">
        <v>13.1</v>
      </c>
      <c r="BC106">
        <v>12.3</v>
      </c>
      <c r="BD106">
        <v>11.2</v>
      </c>
      <c r="BE106">
        <v>9.61</v>
      </c>
      <c r="BF106">
        <v>7.52</v>
      </c>
      <c r="BG106">
        <v>4.9000000000000004</v>
      </c>
      <c r="BH106">
        <v>1.78</v>
      </c>
      <c r="BI106">
        <v>-1.75</v>
      </c>
      <c r="BJ106">
        <v>-5.49</v>
      </c>
      <c r="BK106">
        <v>-9.2100000000000009</v>
      </c>
      <c r="BL106">
        <v>-12.6</v>
      </c>
      <c r="BM106">
        <v>-15.4</v>
      </c>
      <c r="BN106">
        <v>-17.5</v>
      </c>
      <c r="BO106">
        <v>-18.7</v>
      </c>
      <c r="BP106">
        <v>-19</v>
      </c>
      <c r="BQ106">
        <v>-18.5</v>
      </c>
      <c r="BR106">
        <v>-17.399999999999999</v>
      </c>
      <c r="BS106">
        <v>-15.8</v>
      </c>
      <c r="BT106">
        <v>-13.8</v>
      </c>
      <c r="BU106">
        <v>-11.7</v>
      </c>
      <c r="BV106">
        <v>-9.65</v>
      </c>
      <c r="BW106">
        <v>-7.67</v>
      </c>
      <c r="BX106">
        <v>-5.85</v>
      </c>
      <c r="BY106">
        <v>-4.22</v>
      </c>
      <c r="BZ106">
        <v>-2.77</v>
      </c>
      <c r="CA106">
        <v>-1.48</v>
      </c>
      <c r="CB106">
        <v>-0.33</v>
      </c>
      <c r="CC106">
        <v>0.69</v>
      </c>
      <c r="CD106">
        <v>1.57</v>
      </c>
      <c r="CE106">
        <v>2.2999999999999998</v>
      </c>
      <c r="CF106">
        <v>2.87</v>
      </c>
      <c r="CG106">
        <v>3.24</v>
      </c>
      <c r="CH106">
        <v>3.42</v>
      </c>
      <c r="CI106">
        <v>3.39</v>
      </c>
      <c r="CJ106">
        <v>3.17</v>
      </c>
      <c r="CK106">
        <v>2.79</v>
      </c>
      <c r="CL106">
        <v>2.2999999999999998</v>
      </c>
      <c r="CM106">
        <v>1.74</v>
      </c>
      <c r="CN106">
        <v>1.2</v>
      </c>
      <c r="CO106">
        <v>0.73</v>
      </c>
      <c r="CP106">
        <v>0.4</v>
      </c>
      <c r="CQ106">
        <v>0.23</v>
      </c>
      <c r="CR106">
        <v>0.24</v>
      </c>
      <c r="CS106">
        <v>0.4</v>
      </c>
      <c r="CT106">
        <v>0.66</v>
      </c>
      <c r="CU106">
        <v>0.93</v>
      </c>
      <c r="CV106">
        <v>1.1200000000000001</v>
      </c>
      <c r="CW106">
        <v>1.1399999999999999</v>
      </c>
      <c r="CX106">
        <v>0.89</v>
      </c>
      <c r="CY106">
        <v>0.34</v>
      </c>
      <c r="CZ106">
        <v>-0.51</v>
      </c>
      <c r="DA106">
        <v>-1.58</v>
      </c>
      <c r="DB106">
        <v>-2.75</v>
      </c>
    </row>
    <row r="107" spans="1:106" x14ac:dyDescent="0.25">
      <c r="A107" s="59"/>
      <c r="B107" s="59"/>
      <c r="C107" t="s">
        <v>56</v>
      </c>
      <c r="D107">
        <v>11</v>
      </c>
      <c r="E107" t="s">
        <v>2</v>
      </c>
      <c r="F107">
        <v>1.68</v>
      </c>
      <c r="G107">
        <v>1.91</v>
      </c>
      <c r="H107">
        <v>2.17</v>
      </c>
      <c r="I107">
        <v>2.4500000000000002</v>
      </c>
      <c r="J107">
        <v>2.74</v>
      </c>
      <c r="K107">
        <v>3.03</v>
      </c>
      <c r="L107">
        <v>3.31</v>
      </c>
      <c r="M107">
        <v>3.58</v>
      </c>
      <c r="N107">
        <v>3.83</v>
      </c>
      <c r="O107">
        <v>4.04</v>
      </c>
      <c r="P107">
        <v>4.21</v>
      </c>
      <c r="Q107">
        <v>4.34</v>
      </c>
      <c r="R107">
        <v>4.41</v>
      </c>
      <c r="S107">
        <v>4.43</v>
      </c>
      <c r="T107">
        <v>4.3899999999999997</v>
      </c>
      <c r="U107">
        <v>4.3</v>
      </c>
      <c r="V107">
        <v>4.1500000000000004</v>
      </c>
      <c r="W107">
        <v>3.96</v>
      </c>
      <c r="X107">
        <v>3.72</v>
      </c>
      <c r="Y107">
        <v>3.45</v>
      </c>
      <c r="Z107">
        <v>3.15</v>
      </c>
      <c r="AA107">
        <v>2.83</v>
      </c>
      <c r="AB107">
        <v>2.5</v>
      </c>
      <c r="AC107">
        <v>2.16</v>
      </c>
      <c r="AD107">
        <v>1.83</v>
      </c>
      <c r="AE107">
        <v>1.5</v>
      </c>
      <c r="AF107">
        <v>1.19</v>
      </c>
      <c r="AG107">
        <v>0.9</v>
      </c>
      <c r="AH107">
        <v>0.64</v>
      </c>
      <c r="AI107">
        <v>0.41</v>
      </c>
      <c r="AJ107">
        <v>0.21</v>
      </c>
      <c r="AK107">
        <v>3.7999999999999999E-2</v>
      </c>
      <c r="AL107">
        <v>-9.6000000000000002E-2</v>
      </c>
      <c r="AM107">
        <v>-0.2</v>
      </c>
      <c r="AN107">
        <v>-0.27</v>
      </c>
      <c r="AO107">
        <v>-0.31</v>
      </c>
      <c r="AP107">
        <v>-0.32</v>
      </c>
      <c r="AQ107">
        <v>-0.32</v>
      </c>
      <c r="AR107">
        <v>-0.3</v>
      </c>
      <c r="AS107">
        <v>-0.26</v>
      </c>
      <c r="AT107">
        <v>-0.23</v>
      </c>
      <c r="AU107">
        <v>-0.19</v>
      </c>
      <c r="AV107">
        <v>-0.17</v>
      </c>
      <c r="AW107">
        <v>-0.15</v>
      </c>
      <c r="AX107">
        <v>-0.16</v>
      </c>
      <c r="AY107">
        <v>-0.2</v>
      </c>
      <c r="AZ107">
        <v>-0.27</v>
      </c>
      <c r="BA107">
        <v>-0.37</v>
      </c>
      <c r="BB107">
        <v>-0.51</v>
      </c>
      <c r="BC107">
        <v>-0.68</v>
      </c>
      <c r="BD107">
        <v>-0.89</v>
      </c>
      <c r="BE107">
        <v>-1.1299999999999999</v>
      </c>
      <c r="BF107">
        <v>-1.41</v>
      </c>
      <c r="BG107">
        <v>-1.7</v>
      </c>
      <c r="BH107">
        <v>-2.0099999999999998</v>
      </c>
      <c r="BI107">
        <v>-2.3199999999999998</v>
      </c>
      <c r="BJ107">
        <v>-2.63</v>
      </c>
      <c r="BK107">
        <v>-2.93</v>
      </c>
      <c r="BL107">
        <v>-3.2</v>
      </c>
      <c r="BM107">
        <v>-3.44</v>
      </c>
      <c r="BN107">
        <v>-3.64</v>
      </c>
      <c r="BO107">
        <v>-3.78</v>
      </c>
      <c r="BP107">
        <v>-3.88</v>
      </c>
      <c r="BQ107">
        <v>-3.91</v>
      </c>
      <c r="BR107">
        <v>-3.89</v>
      </c>
      <c r="BS107">
        <v>-3.81</v>
      </c>
      <c r="BT107">
        <v>-3.67</v>
      </c>
      <c r="BU107">
        <v>-3.48</v>
      </c>
      <c r="BV107">
        <v>-3.24</v>
      </c>
      <c r="BW107">
        <v>-2.96</v>
      </c>
      <c r="BX107">
        <v>-2.65</v>
      </c>
      <c r="BY107">
        <v>-2.3199999999999998</v>
      </c>
      <c r="BZ107">
        <v>-1.97</v>
      </c>
      <c r="CA107">
        <v>-1.62</v>
      </c>
      <c r="CB107">
        <v>-1.27</v>
      </c>
      <c r="CC107">
        <v>-0.93</v>
      </c>
      <c r="CD107">
        <v>-0.61</v>
      </c>
      <c r="CE107">
        <v>-0.31</v>
      </c>
      <c r="CF107">
        <v>-4.4999999999999998E-2</v>
      </c>
      <c r="CG107">
        <v>0.19</v>
      </c>
      <c r="CH107">
        <v>0.39</v>
      </c>
      <c r="CI107">
        <v>0.55000000000000004</v>
      </c>
      <c r="CJ107">
        <v>0.67</v>
      </c>
      <c r="CK107">
        <v>0.76</v>
      </c>
      <c r="CL107">
        <v>0.81</v>
      </c>
      <c r="CM107">
        <v>0.84</v>
      </c>
      <c r="CN107">
        <v>0.85</v>
      </c>
      <c r="CO107">
        <v>0.83</v>
      </c>
      <c r="CP107">
        <v>0.8</v>
      </c>
      <c r="CQ107">
        <v>0.77</v>
      </c>
      <c r="CR107">
        <v>0.74</v>
      </c>
      <c r="CS107">
        <v>0.72</v>
      </c>
      <c r="CT107">
        <v>0.71</v>
      </c>
      <c r="CU107">
        <v>0.71</v>
      </c>
      <c r="CV107">
        <v>0.75</v>
      </c>
      <c r="CW107">
        <v>0.81</v>
      </c>
      <c r="CX107">
        <v>0.91</v>
      </c>
      <c r="CY107">
        <v>1.04</v>
      </c>
      <c r="CZ107">
        <v>1.21</v>
      </c>
      <c r="DA107">
        <v>1.41</v>
      </c>
      <c r="DB107">
        <v>1.65</v>
      </c>
    </row>
    <row r="108" spans="1:106" x14ac:dyDescent="0.25">
      <c r="A108" s="59"/>
      <c r="B108" s="59"/>
      <c r="C108" t="s">
        <v>57</v>
      </c>
      <c r="D108">
        <v>11</v>
      </c>
      <c r="E108" t="s">
        <v>2</v>
      </c>
      <c r="F108">
        <v>-1.75</v>
      </c>
      <c r="G108">
        <v>-1.26</v>
      </c>
      <c r="H108">
        <v>-0.72</v>
      </c>
      <c r="I108">
        <v>-0.16</v>
      </c>
      <c r="J108">
        <v>0.42</v>
      </c>
      <c r="K108">
        <v>1.01</v>
      </c>
      <c r="L108">
        <v>1.6</v>
      </c>
      <c r="M108">
        <v>2.16</v>
      </c>
      <c r="N108">
        <v>2.7</v>
      </c>
      <c r="O108">
        <v>3.18</v>
      </c>
      <c r="P108">
        <v>3.62</v>
      </c>
      <c r="Q108">
        <v>3.98</v>
      </c>
      <c r="R108">
        <v>4.28</v>
      </c>
      <c r="S108">
        <v>4.5</v>
      </c>
      <c r="T108">
        <v>4.6500000000000004</v>
      </c>
      <c r="U108">
        <v>4.7300000000000004</v>
      </c>
      <c r="V108">
        <v>4.74</v>
      </c>
      <c r="W108">
        <v>4.7</v>
      </c>
      <c r="X108">
        <v>4.6100000000000003</v>
      </c>
      <c r="Y108">
        <v>4.47</v>
      </c>
      <c r="Z108">
        <v>4.3</v>
      </c>
      <c r="AA108">
        <v>4.09</v>
      </c>
      <c r="AB108">
        <v>3.86</v>
      </c>
      <c r="AC108">
        <v>3.6</v>
      </c>
      <c r="AD108">
        <v>3.34</v>
      </c>
      <c r="AE108">
        <v>3.06</v>
      </c>
      <c r="AF108">
        <v>2.79</v>
      </c>
      <c r="AG108">
        <v>2.52</v>
      </c>
      <c r="AH108">
        <v>2.27</v>
      </c>
      <c r="AI108">
        <v>2.0299999999999998</v>
      </c>
      <c r="AJ108">
        <v>1.82</v>
      </c>
      <c r="AK108">
        <v>1.63</v>
      </c>
      <c r="AL108">
        <v>1.45</v>
      </c>
      <c r="AM108">
        <v>1.3</v>
      </c>
      <c r="AN108">
        <v>1.17</v>
      </c>
      <c r="AO108">
        <v>1.06</v>
      </c>
      <c r="AP108">
        <v>0.96</v>
      </c>
      <c r="AQ108">
        <v>0.86</v>
      </c>
      <c r="AR108">
        <v>0.77</v>
      </c>
      <c r="AS108">
        <v>0.67</v>
      </c>
      <c r="AT108">
        <v>0.56999999999999995</v>
      </c>
      <c r="AU108">
        <v>0.44</v>
      </c>
      <c r="AV108">
        <v>0.3</v>
      </c>
      <c r="AW108">
        <v>0.13</v>
      </c>
      <c r="AX108">
        <v>-7.6999999999999999E-2</v>
      </c>
      <c r="AY108">
        <v>-0.32</v>
      </c>
      <c r="AZ108">
        <v>-0.59</v>
      </c>
      <c r="BA108">
        <v>-0.91</v>
      </c>
      <c r="BB108">
        <v>-1.27</v>
      </c>
      <c r="BC108">
        <v>-1.67</v>
      </c>
      <c r="BD108">
        <v>-2.11</v>
      </c>
      <c r="BE108">
        <v>-2.59</v>
      </c>
      <c r="BF108">
        <v>-3.09</v>
      </c>
      <c r="BG108">
        <v>-3.62</v>
      </c>
      <c r="BH108">
        <v>-4.17</v>
      </c>
      <c r="BI108">
        <v>-4.72</v>
      </c>
      <c r="BJ108">
        <v>-5.26</v>
      </c>
      <c r="BK108">
        <v>-5.77</v>
      </c>
      <c r="BL108">
        <v>-6.24</v>
      </c>
      <c r="BM108">
        <v>-6.66</v>
      </c>
      <c r="BN108">
        <v>-7</v>
      </c>
      <c r="BO108">
        <v>-7.25</v>
      </c>
      <c r="BP108">
        <v>-7.41</v>
      </c>
      <c r="BQ108">
        <v>-7.48</v>
      </c>
      <c r="BR108">
        <v>-7.45</v>
      </c>
      <c r="BS108">
        <v>-7.34</v>
      </c>
      <c r="BT108">
        <v>-7.15</v>
      </c>
      <c r="BU108">
        <v>-6.89</v>
      </c>
      <c r="BV108">
        <v>-6.56</v>
      </c>
      <c r="BW108">
        <v>-6.2</v>
      </c>
      <c r="BX108">
        <v>-5.8</v>
      </c>
      <c r="BY108">
        <v>-5.38</v>
      </c>
      <c r="BZ108">
        <v>-4.96</v>
      </c>
      <c r="CA108">
        <v>-4.55</v>
      </c>
      <c r="CB108">
        <v>-4.17</v>
      </c>
      <c r="CC108">
        <v>-3.82</v>
      </c>
      <c r="CD108">
        <v>-3.51</v>
      </c>
      <c r="CE108">
        <v>-3.25</v>
      </c>
      <c r="CF108">
        <v>-3.03</v>
      </c>
      <c r="CG108">
        <v>-2.86</v>
      </c>
      <c r="CH108">
        <v>-2.73</v>
      </c>
      <c r="CI108">
        <v>-2.65</v>
      </c>
      <c r="CJ108">
        <v>-2.61</v>
      </c>
      <c r="CK108">
        <v>-2.6</v>
      </c>
      <c r="CL108">
        <v>-2.63</v>
      </c>
      <c r="CM108">
        <v>-2.69</v>
      </c>
      <c r="CN108">
        <v>-2.77</v>
      </c>
      <c r="CO108">
        <v>-2.88</v>
      </c>
      <c r="CP108">
        <v>-3</v>
      </c>
      <c r="CQ108">
        <v>-3.12</v>
      </c>
      <c r="CR108">
        <v>-3.25</v>
      </c>
      <c r="CS108">
        <v>-3.34</v>
      </c>
      <c r="CT108">
        <v>-3.4</v>
      </c>
      <c r="CU108">
        <v>-3.41</v>
      </c>
      <c r="CV108">
        <v>-3.34</v>
      </c>
      <c r="CW108">
        <v>-3.18</v>
      </c>
      <c r="CX108">
        <v>-2.93</v>
      </c>
      <c r="CY108">
        <v>-2.6</v>
      </c>
      <c r="CZ108">
        <v>-2.2000000000000002</v>
      </c>
      <c r="DA108">
        <v>-1.73</v>
      </c>
      <c r="DB108">
        <v>-1.22</v>
      </c>
    </row>
    <row r="109" spans="1:106" x14ac:dyDescent="0.25">
      <c r="A109" s="59"/>
      <c r="B109" s="59"/>
      <c r="C109" t="s">
        <v>58</v>
      </c>
      <c r="D109">
        <v>11</v>
      </c>
      <c r="E109" t="s">
        <v>2</v>
      </c>
      <c r="F109">
        <v>1.5</v>
      </c>
      <c r="G109">
        <v>1.37</v>
      </c>
      <c r="H109">
        <v>1.24</v>
      </c>
      <c r="I109">
        <v>1.1299999999999999</v>
      </c>
      <c r="J109">
        <v>1.06</v>
      </c>
      <c r="K109">
        <v>1.06</v>
      </c>
      <c r="L109">
        <v>1.1399999999999999</v>
      </c>
      <c r="M109">
        <v>1.27</v>
      </c>
      <c r="N109">
        <v>1.41</v>
      </c>
      <c r="O109">
        <v>1.5</v>
      </c>
      <c r="P109">
        <v>1.49</v>
      </c>
      <c r="Q109">
        <v>1.37</v>
      </c>
      <c r="R109">
        <v>1.1599999999999999</v>
      </c>
      <c r="S109">
        <v>0.89</v>
      </c>
      <c r="T109">
        <v>0.63</v>
      </c>
      <c r="U109">
        <v>0.42</v>
      </c>
      <c r="V109">
        <v>0.3</v>
      </c>
      <c r="W109">
        <v>0.28000000000000003</v>
      </c>
      <c r="X109">
        <v>0.33</v>
      </c>
      <c r="Y109">
        <v>0.45</v>
      </c>
      <c r="Z109">
        <v>0.59</v>
      </c>
      <c r="AA109">
        <v>0.74</v>
      </c>
      <c r="AB109">
        <v>0.87</v>
      </c>
      <c r="AC109">
        <v>0.98</v>
      </c>
      <c r="AD109">
        <v>1.06</v>
      </c>
      <c r="AE109">
        <v>1.1299999999999999</v>
      </c>
      <c r="AF109">
        <v>1.18</v>
      </c>
      <c r="AG109">
        <v>1.24</v>
      </c>
      <c r="AH109">
        <v>1.31</v>
      </c>
      <c r="AI109">
        <v>1.38</v>
      </c>
      <c r="AJ109">
        <v>1.47</v>
      </c>
      <c r="AK109">
        <v>1.56</v>
      </c>
      <c r="AL109">
        <v>1.66</v>
      </c>
      <c r="AM109">
        <v>1.77</v>
      </c>
      <c r="AN109">
        <v>1.87</v>
      </c>
      <c r="AO109">
        <v>1.96</v>
      </c>
      <c r="AP109">
        <v>2.04</v>
      </c>
      <c r="AQ109">
        <v>2.11</v>
      </c>
      <c r="AR109">
        <v>2.17</v>
      </c>
      <c r="AS109">
        <v>2.21</v>
      </c>
      <c r="AT109">
        <v>2.2400000000000002</v>
      </c>
      <c r="AU109">
        <v>2.25</v>
      </c>
      <c r="AV109">
        <v>2.2400000000000002</v>
      </c>
      <c r="AW109">
        <v>2.21</v>
      </c>
      <c r="AX109">
        <v>2.16</v>
      </c>
      <c r="AY109">
        <v>2.08</v>
      </c>
      <c r="AZ109">
        <v>1.97</v>
      </c>
      <c r="BA109">
        <v>1.85</v>
      </c>
      <c r="BB109">
        <v>1.7</v>
      </c>
      <c r="BC109">
        <v>1.55</v>
      </c>
      <c r="BD109">
        <v>1.4</v>
      </c>
      <c r="BE109">
        <v>1.28</v>
      </c>
      <c r="BF109">
        <v>1.21</v>
      </c>
      <c r="BG109">
        <v>1.21</v>
      </c>
      <c r="BH109">
        <v>1.31</v>
      </c>
      <c r="BI109">
        <v>1.52</v>
      </c>
      <c r="BJ109">
        <v>1.84</v>
      </c>
      <c r="BK109">
        <v>2.2400000000000002</v>
      </c>
      <c r="BL109">
        <v>2.66</v>
      </c>
      <c r="BM109">
        <v>3.04</v>
      </c>
      <c r="BN109">
        <v>3.27</v>
      </c>
      <c r="BO109">
        <v>3.29</v>
      </c>
      <c r="BP109">
        <v>3.06</v>
      </c>
      <c r="BQ109">
        <v>2.56</v>
      </c>
      <c r="BR109">
        <v>1.83</v>
      </c>
      <c r="BS109">
        <v>0.97</v>
      </c>
      <c r="BT109">
        <v>9.8000000000000004E-2</v>
      </c>
      <c r="BU109">
        <v>-0.68</v>
      </c>
      <c r="BV109">
        <v>-1.25</v>
      </c>
      <c r="BW109">
        <v>-1.56</v>
      </c>
      <c r="BX109">
        <v>-1.56</v>
      </c>
      <c r="BY109">
        <v>-1.25</v>
      </c>
      <c r="BZ109">
        <v>-0.65</v>
      </c>
      <c r="CA109">
        <v>0.17</v>
      </c>
      <c r="CB109">
        <v>1.1499999999999999</v>
      </c>
      <c r="CC109">
        <v>2.21</v>
      </c>
      <c r="CD109">
        <v>3.26</v>
      </c>
      <c r="CE109">
        <v>4.24</v>
      </c>
      <c r="CF109">
        <v>5.09</v>
      </c>
      <c r="CG109">
        <v>5.76</v>
      </c>
      <c r="CH109">
        <v>6.2</v>
      </c>
      <c r="CI109">
        <v>6.38</v>
      </c>
      <c r="CJ109">
        <v>6.31</v>
      </c>
      <c r="CK109">
        <v>5.98</v>
      </c>
      <c r="CL109">
        <v>5.43</v>
      </c>
      <c r="CM109">
        <v>4.71</v>
      </c>
      <c r="CN109">
        <v>3.9</v>
      </c>
      <c r="CO109">
        <v>3.11</v>
      </c>
      <c r="CP109">
        <v>2.4</v>
      </c>
      <c r="CQ109">
        <v>1.87</v>
      </c>
      <c r="CR109">
        <v>1.55</v>
      </c>
      <c r="CS109">
        <v>1.44</v>
      </c>
      <c r="CT109">
        <v>1.49</v>
      </c>
      <c r="CU109">
        <v>1.61</v>
      </c>
      <c r="CV109">
        <v>1.74</v>
      </c>
      <c r="CW109">
        <v>1.82</v>
      </c>
      <c r="CX109">
        <v>1.8</v>
      </c>
      <c r="CY109">
        <v>1.71</v>
      </c>
      <c r="CZ109">
        <v>1.57</v>
      </c>
      <c r="DA109">
        <v>1.43</v>
      </c>
      <c r="DB109">
        <v>1.3</v>
      </c>
    </row>
    <row r="110" spans="1:106" x14ac:dyDescent="0.25">
      <c r="A110" s="59"/>
      <c r="B110" s="59"/>
      <c r="C110" t="s">
        <v>59</v>
      </c>
      <c r="D110">
        <v>11</v>
      </c>
      <c r="E110" t="s">
        <v>2</v>
      </c>
      <c r="F110">
        <v>4.54</v>
      </c>
      <c r="G110">
        <v>4.41</v>
      </c>
      <c r="H110">
        <v>4.2300000000000004</v>
      </c>
      <c r="I110">
        <v>4.0199999999999996</v>
      </c>
      <c r="J110">
        <v>3.78</v>
      </c>
      <c r="K110">
        <v>3.53</v>
      </c>
      <c r="L110">
        <v>3.26</v>
      </c>
      <c r="M110">
        <v>2.99</v>
      </c>
      <c r="N110">
        <v>2.73</v>
      </c>
      <c r="O110">
        <v>2.4700000000000002</v>
      </c>
      <c r="P110">
        <v>2.23</v>
      </c>
      <c r="Q110">
        <v>2.0099999999999998</v>
      </c>
      <c r="R110">
        <v>1.8</v>
      </c>
      <c r="S110">
        <v>1.61</v>
      </c>
      <c r="T110">
        <v>1.44</v>
      </c>
      <c r="U110">
        <v>1.27</v>
      </c>
      <c r="V110">
        <v>1.1100000000000001</v>
      </c>
      <c r="W110">
        <v>0.96</v>
      </c>
      <c r="X110">
        <v>0.8</v>
      </c>
      <c r="Y110">
        <v>0.64</v>
      </c>
      <c r="Z110">
        <v>0.48</v>
      </c>
      <c r="AA110">
        <v>0.3</v>
      </c>
      <c r="AB110">
        <v>0.11</v>
      </c>
      <c r="AC110">
        <v>-8.7999999999999995E-2</v>
      </c>
      <c r="AD110">
        <v>-0.31</v>
      </c>
      <c r="AE110">
        <v>-0.54</v>
      </c>
      <c r="AF110">
        <v>-0.8</v>
      </c>
      <c r="AG110">
        <v>-1.07</v>
      </c>
      <c r="AH110">
        <v>-1.36</v>
      </c>
      <c r="AI110">
        <v>-1.67</v>
      </c>
      <c r="AJ110">
        <v>-1.99</v>
      </c>
      <c r="AK110">
        <v>-2.34</v>
      </c>
      <c r="AL110">
        <v>-2.7</v>
      </c>
      <c r="AM110">
        <v>-3.07</v>
      </c>
      <c r="AN110">
        <v>-3.46</v>
      </c>
      <c r="AO110">
        <v>-3.85</v>
      </c>
      <c r="AP110">
        <v>-4.25</v>
      </c>
      <c r="AQ110">
        <v>-4.6500000000000004</v>
      </c>
      <c r="AR110">
        <v>-5.04</v>
      </c>
      <c r="AS110">
        <v>-5.42</v>
      </c>
      <c r="AT110">
        <v>-5.78</v>
      </c>
      <c r="AU110">
        <v>-6.11</v>
      </c>
      <c r="AV110">
        <v>-6.41</v>
      </c>
      <c r="AW110">
        <v>-6.67</v>
      </c>
      <c r="AX110">
        <v>-6.89</v>
      </c>
      <c r="AY110">
        <v>-7.06</v>
      </c>
      <c r="AZ110">
        <v>-7.17</v>
      </c>
      <c r="BA110">
        <v>-7.24</v>
      </c>
      <c r="BB110">
        <v>-7.25</v>
      </c>
      <c r="BC110">
        <v>-7.21</v>
      </c>
      <c r="BD110">
        <v>-7.14</v>
      </c>
      <c r="BE110">
        <v>-7.02</v>
      </c>
      <c r="BF110">
        <v>-6.87</v>
      </c>
      <c r="BG110">
        <v>-6.69</v>
      </c>
      <c r="BH110">
        <v>-6.5</v>
      </c>
      <c r="BI110">
        <v>-6.3</v>
      </c>
      <c r="BJ110">
        <v>-6.1</v>
      </c>
      <c r="BK110">
        <v>-5.9</v>
      </c>
      <c r="BL110">
        <v>-5.71</v>
      </c>
      <c r="BM110">
        <v>-5.52</v>
      </c>
      <c r="BN110">
        <v>-5.35</v>
      </c>
      <c r="BO110">
        <v>-5.19</v>
      </c>
      <c r="BP110">
        <v>-5.03</v>
      </c>
      <c r="BQ110">
        <v>-4.88</v>
      </c>
      <c r="BR110">
        <v>-4.7300000000000004</v>
      </c>
      <c r="BS110">
        <v>-4.58</v>
      </c>
      <c r="BT110">
        <v>-4.43</v>
      </c>
      <c r="BU110">
        <v>-4.26</v>
      </c>
      <c r="BV110">
        <v>-4.08</v>
      </c>
      <c r="BW110">
        <v>-3.89</v>
      </c>
      <c r="BX110">
        <v>-3.68</v>
      </c>
      <c r="BY110">
        <v>-3.45</v>
      </c>
      <c r="BZ110">
        <v>-3.2</v>
      </c>
      <c r="CA110">
        <v>-2.93</v>
      </c>
      <c r="CB110">
        <v>-2.64</v>
      </c>
      <c r="CC110">
        <v>-2.33</v>
      </c>
      <c r="CD110">
        <v>-2</v>
      </c>
      <c r="CE110">
        <v>-1.66</v>
      </c>
      <c r="CF110">
        <v>-1.3</v>
      </c>
      <c r="CG110">
        <v>-0.93</v>
      </c>
      <c r="CH110">
        <v>-0.54</v>
      </c>
      <c r="CI110">
        <v>-0.14000000000000001</v>
      </c>
      <c r="CJ110">
        <v>0.27</v>
      </c>
      <c r="CK110">
        <v>0.68</v>
      </c>
      <c r="CL110">
        <v>1.1000000000000001</v>
      </c>
      <c r="CM110">
        <v>1.53</v>
      </c>
      <c r="CN110">
        <v>1.95</v>
      </c>
      <c r="CO110">
        <v>2.37</v>
      </c>
      <c r="CP110">
        <v>2.78</v>
      </c>
      <c r="CQ110">
        <v>3.17</v>
      </c>
      <c r="CR110">
        <v>3.54</v>
      </c>
      <c r="CS110">
        <v>3.88</v>
      </c>
      <c r="CT110">
        <v>4.18</v>
      </c>
      <c r="CU110">
        <v>4.45</v>
      </c>
      <c r="CV110">
        <v>4.67</v>
      </c>
      <c r="CW110">
        <v>4.84</v>
      </c>
      <c r="CX110">
        <v>4.96</v>
      </c>
      <c r="CY110">
        <v>5.03</v>
      </c>
      <c r="CZ110">
        <v>5.05</v>
      </c>
      <c r="DA110">
        <v>5.0199999999999996</v>
      </c>
      <c r="DB110">
        <v>4.95</v>
      </c>
    </row>
    <row r="111" spans="1:106" x14ac:dyDescent="0.25">
      <c r="A111" s="59"/>
      <c r="B111" s="59"/>
      <c r="C111" t="s">
        <v>60</v>
      </c>
      <c r="D111">
        <v>11</v>
      </c>
      <c r="E111" t="s">
        <v>2</v>
      </c>
      <c r="F111">
        <v>-9.1199999999999992</v>
      </c>
      <c r="G111">
        <v>-8.2200000000000006</v>
      </c>
      <c r="H111">
        <v>-7.48</v>
      </c>
      <c r="I111">
        <v>-6.85</v>
      </c>
      <c r="J111">
        <v>-6.25</v>
      </c>
      <c r="K111">
        <v>-5.6</v>
      </c>
      <c r="L111">
        <v>-4.8899999999999997</v>
      </c>
      <c r="M111">
        <v>-4.18</v>
      </c>
      <c r="N111">
        <v>-3.59</v>
      </c>
      <c r="O111">
        <v>-3.23</v>
      </c>
      <c r="P111">
        <v>-3.16</v>
      </c>
      <c r="Q111">
        <v>-3.41</v>
      </c>
      <c r="R111">
        <v>-3.9</v>
      </c>
      <c r="S111">
        <v>-4.5199999999999996</v>
      </c>
      <c r="T111">
        <v>-5.14</v>
      </c>
      <c r="U111">
        <v>-5.62</v>
      </c>
      <c r="V111">
        <v>-5.89</v>
      </c>
      <c r="W111">
        <v>-5.91</v>
      </c>
      <c r="X111">
        <v>-5.72</v>
      </c>
      <c r="Y111">
        <v>-5.35</v>
      </c>
      <c r="Z111">
        <v>-4.8899999999999997</v>
      </c>
      <c r="AA111">
        <v>-4.4000000000000004</v>
      </c>
      <c r="AB111">
        <v>-3.94</v>
      </c>
      <c r="AC111">
        <v>-3.55</v>
      </c>
      <c r="AD111">
        <v>-3.25</v>
      </c>
      <c r="AE111">
        <v>-3.02</v>
      </c>
      <c r="AF111">
        <v>-2.86</v>
      </c>
      <c r="AG111">
        <v>-2.72</v>
      </c>
      <c r="AH111">
        <v>-2.6</v>
      </c>
      <c r="AI111">
        <v>-2.4500000000000002</v>
      </c>
      <c r="AJ111">
        <v>-2.2799999999999998</v>
      </c>
      <c r="AK111">
        <v>-2.0699999999999998</v>
      </c>
      <c r="AL111">
        <v>-1.82</v>
      </c>
      <c r="AM111">
        <v>-1.55</v>
      </c>
      <c r="AN111">
        <v>-1.26</v>
      </c>
      <c r="AO111">
        <v>-0.97</v>
      </c>
      <c r="AP111">
        <v>-0.7</v>
      </c>
      <c r="AQ111">
        <v>-0.45</v>
      </c>
      <c r="AR111">
        <v>-0.24</v>
      </c>
      <c r="AS111">
        <v>-8.1000000000000003E-2</v>
      </c>
      <c r="AT111">
        <v>2.3E-2</v>
      </c>
      <c r="AU111">
        <v>6.8000000000000005E-2</v>
      </c>
      <c r="AV111">
        <v>5.6000000000000001E-2</v>
      </c>
      <c r="AW111">
        <v>-1.2999999999999999E-2</v>
      </c>
      <c r="AX111">
        <v>-0.14000000000000001</v>
      </c>
      <c r="AY111">
        <v>-0.31</v>
      </c>
      <c r="AZ111">
        <v>-0.53</v>
      </c>
      <c r="BA111">
        <v>-0.78</v>
      </c>
      <c r="BB111">
        <v>-1.04</v>
      </c>
      <c r="BC111">
        <v>-1.3</v>
      </c>
      <c r="BD111">
        <v>-1.5</v>
      </c>
      <c r="BE111">
        <v>-1.63</v>
      </c>
      <c r="BF111">
        <v>-1.65</v>
      </c>
      <c r="BG111">
        <v>-1.51</v>
      </c>
      <c r="BH111">
        <v>-1.22</v>
      </c>
      <c r="BI111">
        <v>-0.76</v>
      </c>
      <c r="BJ111">
        <v>-0.17</v>
      </c>
      <c r="BK111">
        <v>0.48</v>
      </c>
      <c r="BL111">
        <v>1.1000000000000001</v>
      </c>
      <c r="BM111">
        <v>1.59</v>
      </c>
      <c r="BN111">
        <v>1.89</v>
      </c>
      <c r="BO111">
        <v>1.91</v>
      </c>
      <c r="BP111">
        <v>1.65</v>
      </c>
      <c r="BQ111">
        <v>1.1200000000000001</v>
      </c>
      <c r="BR111">
        <v>0.37</v>
      </c>
      <c r="BS111">
        <v>-0.49</v>
      </c>
      <c r="BT111">
        <v>-1.37</v>
      </c>
      <c r="BU111">
        <v>-2.16</v>
      </c>
      <c r="BV111">
        <v>-2.76</v>
      </c>
      <c r="BW111">
        <v>-3.12</v>
      </c>
      <c r="BX111">
        <v>-3.21</v>
      </c>
      <c r="BY111">
        <v>-3.02</v>
      </c>
      <c r="BZ111">
        <v>-2.58</v>
      </c>
      <c r="CA111">
        <v>-1.94</v>
      </c>
      <c r="CB111">
        <v>-1.1499999999999999</v>
      </c>
      <c r="CC111">
        <v>-0.28000000000000003</v>
      </c>
      <c r="CD111">
        <v>0.61</v>
      </c>
      <c r="CE111">
        <v>1.45</v>
      </c>
      <c r="CF111">
        <v>2.19</v>
      </c>
      <c r="CG111">
        <v>2.78</v>
      </c>
      <c r="CH111">
        <v>3.19</v>
      </c>
      <c r="CI111">
        <v>3.36</v>
      </c>
      <c r="CJ111">
        <v>3.25</v>
      </c>
      <c r="CK111">
        <v>2.82</v>
      </c>
      <c r="CL111">
        <v>2.02</v>
      </c>
      <c r="CM111">
        <v>0.84</v>
      </c>
      <c r="CN111">
        <v>-0.72</v>
      </c>
      <c r="CO111">
        <v>-2.62</v>
      </c>
      <c r="CP111">
        <v>-4.78</v>
      </c>
      <c r="CQ111">
        <v>-7.09</v>
      </c>
      <c r="CR111">
        <v>-9.39</v>
      </c>
      <c r="CS111">
        <v>-11.5</v>
      </c>
      <c r="CT111">
        <v>-13.3</v>
      </c>
      <c r="CU111">
        <v>-14.7</v>
      </c>
      <c r="CV111">
        <v>-15.4</v>
      </c>
      <c r="CW111">
        <v>-15.6</v>
      </c>
      <c r="CX111">
        <v>-15.3</v>
      </c>
      <c r="CY111">
        <v>-14.5</v>
      </c>
      <c r="CZ111">
        <v>-13.4</v>
      </c>
      <c r="DA111">
        <v>-12.1</v>
      </c>
      <c r="DB111">
        <v>-10.7</v>
      </c>
    </row>
    <row r="112" spans="1:106" x14ac:dyDescent="0.25">
      <c r="A112" s="59"/>
      <c r="B112" s="59"/>
      <c r="C112" t="s">
        <v>61</v>
      </c>
      <c r="D112">
        <v>11</v>
      </c>
      <c r="E112" t="s">
        <v>2</v>
      </c>
      <c r="F112">
        <v>-0.16</v>
      </c>
      <c r="G112">
        <v>0.4</v>
      </c>
      <c r="H112">
        <v>1.45</v>
      </c>
      <c r="I112">
        <v>2.89</v>
      </c>
      <c r="J112">
        <v>4.5199999999999996</v>
      </c>
      <c r="K112">
        <v>6.11</v>
      </c>
      <c r="L112">
        <v>7.47</v>
      </c>
      <c r="M112">
        <v>8.51</v>
      </c>
      <c r="N112">
        <v>9.2100000000000009</v>
      </c>
      <c r="O112">
        <v>9.6300000000000008</v>
      </c>
      <c r="P112">
        <v>9.83</v>
      </c>
      <c r="Q112">
        <v>9.8800000000000008</v>
      </c>
      <c r="R112">
        <v>9.83</v>
      </c>
      <c r="S112">
        <v>9.7100000000000009</v>
      </c>
      <c r="T112">
        <v>9.5500000000000007</v>
      </c>
      <c r="U112">
        <v>9.36</v>
      </c>
      <c r="V112">
        <v>9.15</v>
      </c>
      <c r="W112">
        <v>8.93</v>
      </c>
      <c r="X112">
        <v>8.69</v>
      </c>
      <c r="Y112">
        <v>8.4499999999999993</v>
      </c>
      <c r="Z112">
        <v>8.2100000000000009</v>
      </c>
      <c r="AA112">
        <v>7.97</v>
      </c>
      <c r="AB112">
        <v>7.74</v>
      </c>
      <c r="AC112">
        <v>7.52</v>
      </c>
      <c r="AD112">
        <v>7.32</v>
      </c>
      <c r="AE112">
        <v>7.14</v>
      </c>
      <c r="AF112">
        <v>6.95</v>
      </c>
      <c r="AG112">
        <v>6.76</v>
      </c>
      <c r="AH112">
        <v>6.55</v>
      </c>
      <c r="AI112">
        <v>6.33</v>
      </c>
      <c r="AJ112">
        <v>6.11</v>
      </c>
      <c r="AK112">
        <v>5.88</v>
      </c>
      <c r="AL112">
        <v>5.64</v>
      </c>
      <c r="AM112">
        <v>5.42</v>
      </c>
      <c r="AN112">
        <v>5.2</v>
      </c>
      <c r="AO112">
        <v>5</v>
      </c>
      <c r="AP112">
        <v>4.83</v>
      </c>
      <c r="AQ112">
        <v>4.71</v>
      </c>
      <c r="AR112">
        <v>4.6399999999999997</v>
      </c>
      <c r="AS112">
        <v>4.6500000000000004</v>
      </c>
      <c r="AT112">
        <v>4.75</v>
      </c>
      <c r="AU112">
        <v>4.96</v>
      </c>
      <c r="AV112">
        <v>5.28</v>
      </c>
      <c r="AW112">
        <v>5.71</v>
      </c>
      <c r="AX112">
        <v>6.23</v>
      </c>
      <c r="AY112">
        <v>6.82</v>
      </c>
      <c r="AZ112">
        <v>7.43</v>
      </c>
      <c r="BA112">
        <v>8.02</v>
      </c>
      <c r="BB112">
        <v>8.5299999999999994</v>
      </c>
      <c r="BC112">
        <v>8.9</v>
      </c>
      <c r="BD112">
        <v>9.07</v>
      </c>
      <c r="BE112">
        <v>8.98</v>
      </c>
      <c r="BF112">
        <v>8.6199999999999992</v>
      </c>
      <c r="BG112">
        <v>7.99</v>
      </c>
      <c r="BH112">
        <v>7.16</v>
      </c>
      <c r="BI112">
        <v>6.22</v>
      </c>
      <c r="BJ112">
        <v>5.33</v>
      </c>
      <c r="BK112">
        <v>4.6500000000000004</v>
      </c>
      <c r="BL112">
        <v>4.32</v>
      </c>
      <c r="BM112">
        <v>4.45</v>
      </c>
      <c r="BN112">
        <v>5.05</v>
      </c>
      <c r="BO112">
        <v>6.05</v>
      </c>
      <c r="BP112">
        <v>7.31</v>
      </c>
      <c r="BQ112">
        <v>8.6199999999999992</v>
      </c>
      <c r="BR112">
        <v>9.7799999999999994</v>
      </c>
      <c r="BS112">
        <v>10.7</v>
      </c>
      <c r="BT112">
        <v>11.2</v>
      </c>
      <c r="BU112">
        <v>11.3</v>
      </c>
      <c r="BV112">
        <v>11.1</v>
      </c>
      <c r="BW112">
        <v>10.6</v>
      </c>
      <c r="BX112">
        <v>10.1</v>
      </c>
      <c r="BY112">
        <v>9.49</v>
      </c>
      <c r="BZ112">
        <v>8.92</v>
      </c>
      <c r="CA112">
        <v>8.3699999999999992</v>
      </c>
      <c r="CB112">
        <v>7.82</v>
      </c>
      <c r="CC112">
        <v>7.24</v>
      </c>
      <c r="CD112">
        <v>6.56</v>
      </c>
      <c r="CE112">
        <v>5.75</v>
      </c>
      <c r="CF112">
        <v>4.76</v>
      </c>
      <c r="CG112">
        <v>3.6</v>
      </c>
      <c r="CH112">
        <v>2.2799999999999998</v>
      </c>
      <c r="CI112">
        <v>0.87</v>
      </c>
      <c r="CJ112">
        <v>-0.55000000000000004</v>
      </c>
      <c r="CK112">
        <v>-1.86</v>
      </c>
      <c r="CL112">
        <v>-2.92</v>
      </c>
      <c r="CM112">
        <v>-3.62</v>
      </c>
      <c r="CN112">
        <v>-3.87</v>
      </c>
      <c r="CO112">
        <v>-3.63</v>
      </c>
      <c r="CP112">
        <v>-2.94</v>
      </c>
      <c r="CQ112">
        <v>-1.89</v>
      </c>
      <c r="CR112">
        <v>-0.64</v>
      </c>
      <c r="CS112">
        <v>0.61</v>
      </c>
      <c r="CT112">
        <v>1.67</v>
      </c>
      <c r="CU112">
        <v>2.41</v>
      </c>
      <c r="CV112">
        <v>2.72</v>
      </c>
      <c r="CW112">
        <v>2.62</v>
      </c>
      <c r="CX112">
        <v>2.17</v>
      </c>
      <c r="CY112">
        <v>1.53</v>
      </c>
      <c r="CZ112">
        <v>0.88</v>
      </c>
      <c r="DA112">
        <v>0.42</v>
      </c>
      <c r="DB112">
        <v>0.31</v>
      </c>
    </row>
    <row r="113" spans="1:106" x14ac:dyDescent="0.25">
      <c r="A113" s="59"/>
      <c r="B113" s="59"/>
      <c r="C113" t="s">
        <v>62</v>
      </c>
      <c r="D113">
        <v>11</v>
      </c>
      <c r="E113" t="s">
        <v>2</v>
      </c>
      <c r="F113">
        <v>7.12</v>
      </c>
      <c r="G113">
        <v>5.76</v>
      </c>
      <c r="H113">
        <v>4.21</v>
      </c>
      <c r="I113">
        <v>2.5299999999999998</v>
      </c>
      <c r="J113">
        <v>0.8</v>
      </c>
      <c r="K113">
        <v>-0.9</v>
      </c>
      <c r="L113">
        <v>-2.4500000000000002</v>
      </c>
      <c r="M113">
        <v>-3.75</v>
      </c>
      <c r="N113">
        <v>-4.7</v>
      </c>
      <c r="O113">
        <v>-5.27</v>
      </c>
      <c r="P113">
        <v>-5.44</v>
      </c>
      <c r="Q113">
        <v>-5.23</v>
      </c>
      <c r="R113">
        <v>-4.7300000000000004</v>
      </c>
      <c r="S113">
        <v>-4.03</v>
      </c>
      <c r="T113">
        <v>-3.27</v>
      </c>
      <c r="U113">
        <v>-2.5299999999999998</v>
      </c>
      <c r="V113">
        <v>-1.92</v>
      </c>
      <c r="W113">
        <v>-1.45</v>
      </c>
      <c r="X113">
        <v>-1.1399999999999999</v>
      </c>
      <c r="Y113">
        <v>-0.95</v>
      </c>
      <c r="Z113">
        <v>-0.83</v>
      </c>
      <c r="AA113">
        <v>-0.74</v>
      </c>
      <c r="AB113">
        <v>-0.63</v>
      </c>
      <c r="AC113">
        <v>-0.48</v>
      </c>
      <c r="AD113">
        <v>-0.28000000000000003</v>
      </c>
      <c r="AE113">
        <v>-3.2000000000000001E-2</v>
      </c>
      <c r="AF113">
        <v>0.26</v>
      </c>
      <c r="AG113">
        <v>0.59</v>
      </c>
      <c r="AH113">
        <v>0.92</v>
      </c>
      <c r="AI113">
        <v>1.24</v>
      </c>
      <c r="AJ113">
        <v>1.54</v>
      </c>
      <c r="AK113">
        <v>1.81</v>
      </c>
      <c r="AL113">
        <v>2.04</v>
      </c>
      <c r="AM113">
        <v>2.23</v>
      </c>
      <c r="AN113">
        <v>2.4</v>
      </c>
      <c r="AO113">
        <v>2.5499999999999998</v>
      </c>
      <c r="AP113">
        <v>2.7</v>
      </c>
      <c r="AQ113">
        <v>2.83</v>
      </c>
      <c r="AR113">
        <v>2.96</v>
      </c>
      <c r="AS113">
        <v>3.07</v>
      </c>
      <c r="AT113">
        <v>3.15</v>
      </c>
      <c r="AU113">
        <v>3.2</v>
      </c>
      <c r="AV113">
        <v>3.22</v>
      </c>
      <c r="AW113">
        <v>3.19</v>
      </c>
      <c r="AX113">
        <v>3.15</v>
      </c>
      <c r="AY113">
        <v>3.09</v>
      </c>
      <c r="AZ113">
        <v>3.06</v>
      </c>
      <c r="BA113">
        <v>3.08</v>
      </c>
      <c r="BB113">
        <v>3.2</v>
      </c>
      <c r="BC113">
        <v>3.44</v>
      </c>
      <c r="BD113">
        <v>3.84</v>
      </c>
      <c r="BE113">
        <v>4.41</v>
      </c>
      <c r="BF113">
        <v>5.15</v>
      </c>
      <c r="BG113">
        <v>6.01</v>
      </c>
      <c r="BH113">
        <v>6.9</v>
      </c>
      <c r="BI113">
        <v>7.71</v>
      </c>
      <c r="BJ113">
        <v>8.3000000000000007</v>
      </c>
      <c r="BK113">
        <v>8.5500000000000007</v>
      </c>
      <c r="BL113">
        <v>8.3699999999999992</v>
      </c>
      <c r="BM113">
        <v>7.76</v>
      </c>
      <c r="BN113">
        <v>6.74</v>
      </c>
      <c r="BO113">
        <v>5.42</v>
      </c>
      <c r="BP113">
        <v>3.91</v>
      </c>
      <c r="BQ113">
        <v>2.35</v>
      </c>
      <c r="BR113">
        <v>0.89</v>
      </c>
      <c r="BS113">
        <v>-0.36</v>
      </c>
      <c r="BT113">
        <v>-1.33</v>
      </c>
      <c r="BU113">
        <v>-1.97</v>
      </c>
      <c r="BV113">
        <v>-2.33</v>
      </c>
      <c r="BW113">
        <v>-2.4900000000000002</v>
      </c>
      <c r="BX113">
        <v>-2.52</v>
      </c>
      <c r="BY113">
        <v>-2.54</v>
      </c>
      <c r="BZ113">
        <v>-2.6</v>
      </c>
      <c r="CA113">
        <v>-2.75</v>
      </c>
      <c r="CB113">
        <v>-3.01</v>
      </c>
      <c r="CC113">
        <v>-3.34</v>
      </c>
      <c r="CD113">
        <v>-3.71</v>
      </c>
      <c r="CE113">
        <v>-4.0599999999999996</v>
      </c>
      <c r="CF113">
        <v>-4.3499999999999996</v>
      </c>
      <c r="CG113">
        <v>-4.5199999999999996</v>
      </c>
      <c r="CH113">
        <v>-4.55</v>
      </c>
      <c r="CI113">
        <v>-4.3899999999999997</v>
      </c>
      <c r="CJ113">
        <v>-4.03</v>
      </c>
      <c r="CK113">
        <v>-3.47</v>
      </c>
      <c r="CL113">
        <v>-2.69</v>
      </c>
      <c r="CM113">
        <v>-1.72</v>
      </c>
      <c r="CN113">
        <v>-0.55000000000000004</v>
      </c>
      <c r="CO113">
        <v>0.79</v>
      </c>
      <c r="CP113">
        <v>2.25</v>
      </c>
      <c r="CQ113">
        <v>3.79</v>
      </c>
      <c r="CR113">
        <v>5.35</v>
      </c>
      <c r="CS113">
        <v>6.84</v>
      </c>
      <c r="CT113">
        <v>8.1999999999999993</v>
      </c>
      <c r="CU113">
        <v>9.34</v>
      </c>
      <c r="CV113">
        <v>10.199999999999999</v>
      </c>
      <c r="CW113">
        <v>10.8</v>
      </c>
      <c r="CX113">
        <v>11</v>
      </c>
      <c r="CY113">
        <v>10.8</v>
      </c>
      <c r="CZ113">
        <v>10.3</v>
      </c>
      <c r="DA113">
        <v>9.4499999999999993</v>
      </c>
      <c r="DB113">
        <v>8.23</v>
      </c>
    </row>
    <row r="114" spans="1:106" x14ac:dyDescent="0.25">
      <c r="A114" s="59"/>
      <c r="B114" s="59"/>
      <c r="C114" t="s">
        <v>63</v>
      </c>
      <c r="D114">
        <v>11</v>
      </c>
      <c r="E114" t="s">
        <v>2</v>
      </c>
      <c r="F114">
        <v>-11</v>
      </c>
      <c r="G114">
        <v>-10.8</v>
      </c>
      <c r="H114">
        <v>-10.5</v>
      </c>
      <c r="I114">
        <v>-10</v>
      </c>
      <c r="J114">
        <v>-9.48</v>
      </c>
      <c r="K114">
        <v>-8.94</v>
      </c>
      <c r="L114">
        <v>-8.48</v>
      </c>
      <c r="M114">
        <v>-8.1300000000000008</v>
      </c>
      <c r="N114">
        <v>-7.92</v>
      </c>
      <c r="O114">
        <v>-7.85</v>
      </c>
      <c r="P114">
        <v>-7.9</v>
      </c>
      <c r="Q114">
        <v>-8.0399999999999991</v>
      </c>
      <c r="R114">
        <v>-8.24</v>
      </c>
      <c r="S114">
        <v>-8.4499999999999993</v>
      </c>
      <c r="T114">
        <v>-8.65</v>
      </c>
      <c r="U114">
        <v>-8.83</v>
      </c>
      <c r="V114">
        <v>-8.9700000000000006</v>
      </c>
      <c r="W114">
        <v>-9.07</v>
      </c>
      <c r="X114">
        <v>-9.16</v>
      </c>
      <c r="Y114">
        <v>-9.2200000000000006</v>
      </c>
      <c r="Z114">
        <v>-9.2799999999999994</v>
      </c>
      <c r="AA114">
        <v>-9.34</v>
      </c>
      <c r="AB114">
        <v>-9.4</v>
      </c>
      <c r="AC114">
        <v>-9.48</v>
      </c>
      <c r="AD114">
        <v>-9.56</v>
      </c>
      <c r="AE114">
        <v>-9.65</v>
      </c>
      <c r="AF114">
        <v>-9.76</v>
      </c>
      <c r="AG114">
        <v>-9.8800000000000008</v>
      </c>
      <c r="AH114">
        <v>-10</v>
      </c>
      <c r="AI114">
        <v>-10.1</v>
      </c>
      <c r="AJ114">
        <v>-10.3</v>
      </c>
      <c r="AK114">
        <v>-10.5</v>
      </c>
      <c r="AL114">
        <v>-10.6</v>
      </c>
      <c r="AM114">
        <v>-10.8</v>
      </c>
      <c r="AN114">
        <v>-11</v>
      </c>
      <c r="AO114">
        <v>-11.1</v>
      </c>
      <c r="AP114">
        <v>-11.3</v>
      </c>
      <c r="AQ114">
        <v>-11.5</v>
      </c>
      <c r="AR114">
        <v>-11.6</v>
      </c>
      <c r="AS114">
        <v>-11.7</v>
      </c>
      <c r="AT114">
        <v>-11.8</v>
      </c>
      <c r="AU114">
        <v>-11.8</v>
      </c>
      <c r="AV114">
        <v>-11.8</v>
      </c>
      <c r="AW114">
        <v>-11.7</v>
      </c>
      <c r="AX114">
        <v>-11.5</v>
      </c>
      <c r="AY114">
        <v>-11.3</v>
      </c>
      <c r="AZ114">
        <v>-11</v>
      </c>
      <c r="BA114">
        <v>-10.7</v>
      </c>
      <c r="BB114">
        <v>-10.199999999999999</v>
      </c>
      <c r="BC114">
        <v>-9.77</v>
      </c>
      <c r="BD114">
        <v>-9.24</v>
      </c>
      <c r="BE114">
        <v>-8.67</v>
      </c>
      <c r="BF114">
        <v>-8.07</v>
      </c>
      <c r="BG114">
        <v>-7.44</v>
      </c>
      <c r="BH114">
        <v>-6.81</v>
      </c>
      <c r="BI114">
        <v>-6.2</v>
      </c>
      <c r="BJ114">
        <v>-5.66</v>
      </c>
      <c r="BK114">
        <v>-5.22</v>
      </c>
      <c r="BL114">
        <v>-4.93</v>
      </c>
      <c r="BM114">
        <v>-4.83</v>
      </c>
      <c r="BN114">
        <v>-4.95</v>
      </c>
      <c r="BO114">
        <v>-5.29</v>
      </c>
      <c r="BP114">
        <v>-5.86</v>
      </c>
      <c r="BQ114">
        <v>-6.63</v>
      </c>
      <c r="BR114">
        <v>-7.57</v>
      </c>
      <c r="BS114">
        <v>-8.59</v>
      </c>
      <c r="BT114">
        <v>-9.65</v>
      </c>
      <c r="BU114">
        <v>-10.7</v>
      </c>
      <c r="BV114">
        <v>-11.5</v>
      </c>
      <c r="BW114">
        <v>-12.3</v>
      </c>
      <c r="BX114">
        <v>-12.9</v>
      </c>
      <c r="BY114">
        <v>-13.3</v>
      </c>
      <c r="BZ114">
        <v>-13.7</v>
      </c>
      <c r="CA114">
        <v>-13.9</v>
      </c>
      <c r="CB114">
        <v>-14.1</v>
      </c>
      <c r="CC114">
        <v>-14.3</v>
      </c>
      <c r="CD114">
        <v>-14.5</v>
      </c>
      <c r="CE114">
        <v>-14.8</v>
      </c>
      <c r="CF114">
        <v>-15.2</v>
      </c>
      <c r="CG114">
        <v>-15.6</v>
      </c>
      <c r="CH114">
        <v>-16.100000000000001</v>
      </c>
      <c r="CI114">
        <v>-16.5</v>
      </c>
      <c r="CJ114">
        <v>-17</v>
      </c>
      <c r="CK114">
        <v>-17.399999999999999</v>
      </c>
      <c r="CL114">
        <v>-17.7</v>
      </c>
      <c r="CM114">
        <v>-17.8</v>
      </c>
      <c r="CN114">
        <v>-17.7</v>
      </c>
      <c r="CO114">
        <v>-17.399999999999999</v>
      </c>
      <c r="CP114">
        <v>-16.8</v>
      </c>
      <c r="CQ114">
        <v>-16</v>
      </c>
      <c r="CR114">
        <v>-15.1</v>
      </c>
      <c r="CS114">
        <v>-14.2</v>
      </c>
      <c r="CT114">
        <v>-13.3</v>
      </c>
      <c r="CU114">
        <v>-12.5</v>
      </c>
      <c r="CV114">
        <v>-11.8</v>
      </c>
      <c r="CW114">
        <v>-11.4</v>
      </c>
      <c r="CX114">
        <v>-11.1</v>
      </c>
      <c r="CY114">
        <v>-10.9</v>
      </c>
      <c r="CZ114">
        <v>-10.8</v>
      </c>
      <c r="DA114">
        <v>-10.7</v>
      </c>
      <c r="DB114">
        <v>-10.5</v>
      </c>
    </row>
    <row r="115" spans="1:106" x14ac:dyDescent="0.25">
      <c r="A115" s="18"/>
      <c r="B115" s="18"/>
    </row>
    <row r="116" spans="1:106" x14ac:dyDescent="0.25">
      <c r="A116" s="59">
        <v>7</v>
      </c>
      <c r="B116" s="59" t="s">
        <v>76</v>
      </c>
      <c r="C116" t="s">
        <v>52</v>
      </c>
      <c r="D116">
        <v>44</v>
      </c>
      <c r="E116" t="s">
        <v>2</v>
      </c>
      <c r="F116">
        <v>11</v>
      </c>
      <c r="G116">
        <v>10.9</v>
      </c>
      <c r="H116">
        <v>10.9</v>
      </c>
      <c r="I116">
        <v>10.9</v>
      </c>
      <c r="J116">
        <v>10.8</v>
      </c>
      <c r="K116">
        <v>10.8</v>
      </c>
      <c r="L116">
        <v>10.7</v>
      </c>
      <c r="M116">
        <v>10.7</v>
      </c>
      <c r="N116">
        <v>10.6</v>
      </c>
      <c r="O116">
        <v>10.5</v>
      </c>
      <c r="P116">
        <v>10.4</v>
      </c>
      <c r="Q116">
        <v>10.3</v>
      </c>
      <c r="R116">
        <v>10.3</v>
      </c>
      <c r="S116">
        <v>10.199999999999999</v>
      </c>
      <c r="T116">
        <v>10.199999999999999</v>
      </c>
      <c r="U116">
        <v>10.199999999999999</v>
      </c>
      <c r="V116">
        <v>10.199999999999999</v>
      </c>
      <c r="W116">
        <v>10.3</v>
      </c>
      <c r="X116">
        <v>10.4</v>
      </c>
      <c r="Y116">
        <v>10.4</v>
      </c>
      <c r="Z116">
        <v>10.5</v>
      </c>
      <c r="AA116">
        <v>10.6</v>
      </c>
      <c r="AB116">
        <v>10.8</v>
      </c>
      <c r="AC116">
        <v>10.9</v>
      </c>
      <c r="AD116">
        <v>10.9</v>
      </c>
      <c r="AE116">
        <v>11</v>
      </c>
      <c r="AF116">
        <v>11.1</v>
      </c>
      <c r="AG116">
        <v>11.1</v>
      </c>
      <c r="AH116">
        <v>11.2</v>
      </c>
      <c r="AI116">
        <v>11.2</v>
      </c>
      <c r="AJ116">
        <v>11.2</v>
      </c>
      <c r="AK116">
        <v>11.2</v>
      </c>
      <c r="AL116">
        <v>11.2</v>
      </c>
      <c r="AM116">
        <v>11.2</v>
      </c>
      <c r="AN116">
        <v>11.2</v>
      </c>
      <c r="AO116">
        <v>11.2</v>
      </c>
      <c r="AP116">
        <v>11.1</v>
      </c>
      <c r="AQ116">
        <v>11.1</v>
      </c>
      <c r="AR116">
        <v>11.1</v>
      </c>
      <c r="AS116">
        <v>11.1</v>
      </c>
      <c r="AT116">
        <v>11</v>
      </c>
      <c r="AU116">
        <v>11</v>
      </c>
      <c r="AV116">
        <v>11</v>
      </c>
      <c r="AW116">
        <v>11</v>
      </c>
      <c r="AX116">
        <v>11</v>
      </c>
      <c r="AY116">
        <v>11</v>
      </c>
      <c r="AZ116">
        <v>11</v>
      </c>
      <c r="BA116">
        <v>10.9</v>
      </c>
      <c r="BB116">
        <v>10.9</v>
      </c>
      <c r="BC116">
        <v>10.9</v>
      </c>
      <c r="BD116">
        <v>10.9</v>
      </c>
      <c r="BE116">
        <v>10.8</v>
      </c>
      <c r="BF116">
        <v>10.8</v>
      </c>
      <c r="BG116">
        <v>10.8</v>
      </c>
      <c r="BH116">
        <v>10.7</v>
      </c>
      <c r="BI116">
        <v>10.7</v>
      </c>
      <c r="BJ116">
        <v>10.7</v>
      </c>
      <c r="BK116">
        <v>10.6</v>
      </c>
      <c r="BL116">
        <v>10.5</v>
      </c>
      <c r="BM116">
        <v>10.5</v>
      </c>
      <c r="BN116">
        <v>10.4</v>
      </c>
      <c r="BO116">
        <v>10.3</v>
      </c>
      <c r="BP116">
        <v>10.3</v>
      </c>
      <c r="BQ116">
        <v>10.199999999999999</v>
      </c>
      <c r="BR116">
        <v>10.199999999999999</v>
      </c>
      <c r="BS116">
        <v>10.199999999999999</v>
      </c>
      <c r="BT116">
        <v>10.199999999999999</v>
      </c>
      <c r="BU116">
        <v>10.3</v>
      </c>
      <c r="BV116">
        <v>10.3</v>
      </c>
      <c r="BW116">
        <v>10.4</v>
      </c>
      <c r="BX116">
        <v>10.5</v>
      </c>
      <c r="BY116">
        <v>10.6</v>
      </c>
      <c r="BZ116">
        <v>10.7</v>
      </c>
      <c r="CA116">
        <v>10.8</v>
      </c>
      <c r="CB116">
        <v>10.9</v>
      </c>
      <c r="CC116">
        <v>11</v>
      </c>
      <c r="CD116">
        <v>11</v>
      </c>
      <c r="CE116">
        <v>11.1</v>
      </c>
      <c r="CF116">
        <v>11.1</v>
      </c>
      <c r="CG116">
        <v>11.1</v>
      </c>
      <c r="CH116">
        <v>11.2</v>
      </c>
      <c r="CI116">
        <v>11.2</v>
      </c>
      <c r="CJ116">
        <v>11.2</v>
      </c>
      <c r="CK116">
        <v>11.2</v>
      </c>
      <c r="CL116">
        <v>11.2</v>
      </c>
      <c r="CM116">
        <v>11.2</v>
      </c>
      <c r="CN116">
        <v>11.1</v>
      </c>
      <c r="CO116">
        <v>11.1</v>
      </c>
      <c r="CP116">
        <v>11.1</v>
      </c>
      <c r="CQ116">
        <v>11.1</v>
      </c>
      <c r="CR116">
        <v>11.1</v>
      </c>
      <c r="CS116">
        <v>11.1</v>
      </c>
      <c r="CT116">
        <v>11.1</v>
      </c>
      <c r="CU116">
        <v>11.1</v>
      </c>
      <c r="CV116">
        <v>11.1</v>
      </c>
      <c r="CW116">
        <v>11.1</v>
      </c>
      <c r="CX116">
        <v>11.1</v>
      </c>
      <c r="CY116">
        <v>11.1</v>
      </c>
      <c r="CZ116">
        <v>11.1</v>
      </c>
      <c r="DA116">
        <v>11.1</v>
      </c>
      <c r="DB116">
        <v>11</v>
      </c>
    </row>
    <row r="117" spans="1:106" x14ac:dyDescent="0.25">
      <c r="A117" s="59"/>
      <c r="B117" s="59"/>
      <c r="C117" t="s">
        <v>53</v>
      </c>
      <c r="D117">
        <v>44</v>
      </c>
      <c r="E117" t="s">
        <v>2</v>
      </c>
      <c r="F117">
        <v>35.200000000000003</v>
      </c>
      <c r="G117">
        <v>35</v>
      </c>
      <c r="H117">
        <v>34.799999999999997</v>
      </c>
      <c r="I117">
        <v>34.6</v>
      </c>
      <c r="J117">
        <v>34.5</v>
      </c>
      <c r="K117">
        <v>34.200000000000003</v>
      </c>
      <c r="L117">
        <v>33.9</v>
      </c>
      <c r="M117">
        <v>33.5</v>
      </c>
      <c r="N117">
        <v>32.9</v>
      </c>
      <c r="O117">
        <v>32.200000000000003</v>
      </c>
      <c r="P117">
        <v>31.3</v>
      </c>
      <c r="Q117">
        <v>30.4</v>
      </c>
      <c r="R117">
        <v>29.4</v>
      </c>
      <c r="S117">
        <v>28.3</v>
      </c>
      <c r="T117">
        <v>27.2</v>
      </c>
      <c r="U117">
        <v>26</v>
      </c>
      <c r="V117">
        <v>24.7</v>
      </c>
      <c r="W117">
        <v>23.4</v>
      </c>
      <c r="X117">
        <v>22.1</v>
      </c>
      <c r="Y117">
        <v>20.8</v>
      </c>
      <c r="Z117">
        <v>19.399999999999999</v>
      </c>
      <c r="AA117">
        <v>18.100000000000001</v>
      </c>
      <c r="AB117">
        <v>16.7</v>
      </c>
      <c r="AC117">
        <v>15.4</v>
      </c>
      <c r="AD117">
        <v>14.1</v>
      </c>
      <c r="AE117">
        <v>12.8</v>
      </c>
      <c r="AF117">
        <v>11.4</v>
      </c>
      <c r="AG117">
        <v>10.1</v>
      </c>
      <c r="AH117">
        <v>8.82</v>
      </c>
      <c r="AI117">
        <v>7.53</v>
      </c>
      <c r="AJ117">
        <v>6.26</v>
      </c>
      <c r="AK117">
        <v>5.01</v>
      </c>
      <c r="AL117">
        <v>3.79</v>
      </c>
      <c r="AM117">
        <v>2.6</v>
      </c>
      <c r="AN117">
        <v>1.45</v>
      </c>
      <c r="AO117">
        <v>0.33</v>
      </c>
      <c r="AP117">
        <v>-0.76</v>
      </c>
      <c r="AQ117">
        <v>-1.82</v>
      </c>
      <c r="AR117">
        <v>-2.83</v>
      </c>
      <c r="AS117">
        <v>-3.8</v>
      </c>
      <c r="AT117">
        <v>-4.7300000000000004</v>
      </c>
      <c r="AU117">
        <v>-5.61</v>
      </c>
      <c r="AV117">
        <v>-6.43</v>
      </c>
      <c r="AW117">
        <v>-7.18</v>
      </c>
      <c r="AX117">
        <v>-7.86</v>
      </c>
      <c r="AY117">
        <v>-8.48</v>
      </c>
      <c r="AZ117">
        <v>-9.02</v>
      </c>
      <c r="BA117">
        <v>-9.48</v>
      </c>
      <c r="BB117">
        <v>-9.85</v>
      </c>
      <c r="BC117">
        <v>-10.1</v>
      </c>
      <c r="BD117">
        <v>-10.199999999999999</v>
      </c>
      <c r="BE117">
        <v>-10.199999999999999</v>
      </c>
      <c r="BF117">
        <v>-9.99</v>
      </c>
      <c r="BG117">
        <v>-9.59</v>
      </c>
      <c r="BH117">
        <v>-9.01</v>
      </c>
      <c r="BI117">
        <v>-8.26</v>
      </c>
      <c r="BJ117">
        <v>-7.35</v>
      </c>
      <c r="BK117">
        <v>-6.3</v>
      </c>
      <c r="BL117">
        <v>-5.09</v>
      </c>
      <c r="BM117">
        <v>-3.73</v>
      </c>
      <c r="BN117">
        <v>-2.2000000000000002</v>
      </c>
      <c r="BO117">
        <v>-0.51</v>
      </c>
      <c r="BP117">
        <v>1.35</v>
      </c>
      <c r="BQ117">
        <v>3.35</v>
      </c>
      <c r="BR117">
        <v>5.48</v>
      </c>
      <c r="BS117">
        <v>7.7</v>
      </c>
      <c r="BT117">
        <v>9.98</v>
      </c>
      <c r="BU117">
        <v>12.3</v>
      </c>
      <c r="BV117">
        <v>14.5</v>
      </c>
      <c r="BW117">
        <v>16.8</v>
      </c>
      <c r="BX117">
        <v>18.899999999999999</v>
      </c>
      <c r="BY117">
        <v>20.9</v>
      </c>
      <c r="BZ117">
        <v>22.8</v>
      </c>
      <c r="CA117">
        <v>24.6</v>
      </c>
      <c r="CB117">
        <v>26.2</v>
      </c>
      <c r="CC117">
        <v>27.7</v>
      </c>
      <c r="CD117">
        <v>29.1</v>
      </c>
      <c r="CE117">
        <v>30.3</v>
      </c>
      <c r="CF117">
        <v>31.3</v>
      </c>
      <c r="CG117">
        <v>32.299999999999997</v>
      </c>
      <c r="CH117">
        <v>33</v>
      </c>
      <c r="CI117">
        <v>33.6</v>
      </c>
      <c r="CJ117">
        <v>34.1</v>
      </c>
      <c r="CK117">
        <v>34.5</v>
      </c>
      <c r="CL117">
        <v>34.799999999999997</v>
      </c>
      <c r="CM117">
        <v>35</v>
      </c>
      <c r="CN117">
        <v>35.1</v>
      </c>
      <c r="CO117">
        <v>35.200000000000003</v>
      </c>
      <c r="CP117">
        <v>35.200000000000003</v>
      </c>
      <c r="CQ117">
        <v>35.299999999999997</v>
      </c>
      <c r="CR117">
        <v>35.299999999999997</v>
      </c>
      <c r="CS117">
        <v>35.4</v>
      </c>
      <c r="CT117">
        <v>35.5</v>
      </c>
      <c r="CU117">
        <v>35.6</v>
      </c>
      <c r="CV117">
        <v>35.700000000000003</v>
      </c>
      <c r="CW117">
        <v>35.700000000000003</v>
      </c>
      <c r="CX117">
        <v>35.700000000000003</v>
      </c>
      <c r="CY117">
        <v>35.700000000000003</v>
      </c>
      <c r="CZ117">
        <v>35.5</v>
      </c>
      <c r="DA117">
        <v>35.299999999999997</v>
      </c>
      <c r="DB117">
        <v>35.1</v>
      </c>
    </row>
    <row r="118" spans="1:106" x14ac:dyDescent="0.25">
      <c r="A118" s="59"/>
      <c r="B118" s="59"/>
      <c r="C118" t="s">
        <v>54</v>
      </c>
      <c r="D118">
        <v>44</v>
      </c>
      <c r="E118" t="s">
        <v>2</v>
      </c>
      <c r="F118">
        <v>6.76</v>
      </c>
      <c r="G118">
        <v>7.88</v>
      </c>
      <c r="H118">
        <v>9.19</v>
      </c>
      <c r="I118">
        <v>10.7</v>
      </c>
      <c r="J118">
        <v>12.2</v>
      </c>
      <c r="K118">
        <v>13.8</v>
      </c>
      <c r="L118">
        <v>15.3</v>
      </c>
      <c r="M118">
        <v>16.600000000000001</v>
      </c>
      <c r="N118">
        <v>17.7</v>
      </c>
      <c r="O118">
        <v>18.5</v>
      </c>
      <c r="P118">
        <v>19</v>
      </c>
      <c r="Q118">
        <v>19.3</v>
      </c>
      <c r="R118">
        <v>19.399999999999999</v>
      </c>
      <c r="S118">
        <v>19.3</v>
      </c>
      <c r="T118">
        <v>19</v>
      </c>
      <c r="U118">
        <v>18.5</v>
      </c>
      <c r="V118">
        <v>17.899999999999999</v>
      </c>
      <c r="W118">
        <v>17.2</v>
      </c>
      <c r="X118">
        <v>16.399999999999999</v>
      </c>
      <c r="Y118">
        <v>15.5</v>
      </c>
      <c r="Z118">
        <v>14.5</v>
      </c>
      <c r="AA118">
        <v>13.6</v>
      </c>
      <c r="AB118">
        <v>12.6</v>
      </c>
      <c r="AC118">
        <v>11.6</v>
      </c>
      <c r="AD118">
        <v>10.7</v>
      </c>
      <c r="AE118">
        <v>9.74</v>
      </c>
      <c r="AF118">
        <v>8.83</v>
      </c>
      <c r="AG118">
        <v>7.96</v>
      </c>
      <c r="AH118">
        <v>7.13</v>
      </c>
      <c r="AI118">
        <v>6.34</v>
      </c>
      <c r="AJ118">
        <v>5.62</v>
      </c>
      <c r="AK118">
        <v>4.95</v>
      </c>
      <c r="AL118">
        <v>4.33</v>
      </c>
      <c r="AM118">
        <v>3.78</v>
      </c>
      <c r="AN118">
        <v>3.3</v>
      </c>
      <c r="AO118">
        <v>2.89</v>
      </c>
      <c r="AP118">
        <v>2.57</v>
      </c>
      <c r="AQ118">
        <v>2.33</v>
      </c>
      <c r="AR118">
        <v>2.19</v>
      </c>
      <c r="AS118">
        <v>2.16</v>
      </c>
      <c r="AT118">
        <v>2.2400000000000002</v>
      </c>
      <c r="AU118">
        <v>2.4300000000000002</v>
      </c>
      <c r="AV118">
        <v>2.75</v>
      </c>
      <c r="AW118">
        <v>3.21</v>
      </c>
      <c r="AX118">
        <v>3.8</v>
      </c>
      <c r="AY118">
        <v>4.53</v>
      </c>
      <c r="AZ118">
        <v>5.41</v>
      </c>
      <c r="BA118">
        <v>6.45</v>
      </c>
      <c r="BB118">
        <v>7.67</v>
      </c>
      <c r="BC118">
        <v>9.08</v>
      </c>
      <c r="BD118">
        <v>10.7</v>
      </c>
      <c r="BE118">
        <v>12.5</v>
      </c>
      <c r="BF118">
        <v>14.5</v>
      </c>
      <c r="BG118">
        <v>16.7</v>
      </c>
      <c r="BH118">
        <v>19</v>
      </c>
      <c r="BI118">
        <v>21.6</v>
      </c>
      <c r="BJ118">
        <v>24.2</v>
      </c>
      <c r="BK118">
        <v>27</v>
      </c>
      <c r="BL118">
        <v>30</v>
      </c>
      <c r="BM118">
        <v>33</v>
      </c>
      <c r="BN118">
        <v>36.200000000000003</v>
      </c>
      <c r="BO118">
        <v>39.4</v>
      </c>
      <c r="BP118">
        <v>42.7</v>
      </c>
      <c r="BQ118">
        <v>45.9</v>
      </c>
      <c r="BR118">
        <v>49</v>
      </c>
      <c r="BS118">
        <v>51.9</v>
      </c>
      <c r="BT118">
        <v>54.4</v>
      </c>
      <c r="BU118">
        <v>56.6</v>
      </c>
      <c r="BV118">
        <v>58.3</v>
      </c>
      <c r="BW118">
        <v>59.5</v>
      </c>
      <c r="BX118">
        <v>60.3</v>
      </c>
      <c r="BY118">
        <v>60.6</v>
      </c>
      <c r="BZ118">
        <v>60.5</v>
      </c>
      <c r="CA118">
        <v>60.1</v>
      </c>
      <c r="CB118">
        <v>59.3</v>
      </c>
      <c r="CC118">
        <v>58.1</v>
      </c>
      <c r="CD118">
        <v>56.6</v>
      </c>
      <c r="CE118">
        <v>54.8</v>
      </c>
      <c r="CF118">
        <v>52.7</v>
      </c>
      <c r="CG118">
        <v>50.3</v>
      </c>
      <c r="CH118">
        <v>47.7</v>
      </c>
      <c r="CI118">
        <v>44.7</v>
      </c>
      <c r="CJ118">
        <v>41.5</v>
      </c>
      <c r="CK118">
        <v>38</v>
      </c>
      <c r="CL118">
        <v>34.4</v>
      </c>
      <c r="CM118">
        <v>30.6</v>
      </c>
      <c r="CN118">
        <v>26.9</v>
      </c>
      <c r="CO118">
        <v>23.2</v>
      </c>
      <c r="CP118">
        <v>19.600000000000001</v>
      </c>
      <c r="CQ118">
        <v>16.3</v>
      </c>
      <c r="CR118">
        <v>13.3</v>
      </c>
      <c r="CS118">
        <v>10.8</v>
      </c>
      <c r="CT118">
        <v>8.75</v>
      </c>
      <c r="CU118">
        <v>7.21</v>
      </c>
      <c r="CV118">
        <v>6.14</v>
      </c>
      <c r="CW118">
        <v>5.49</v>
      </c>
      <c r="CX118">
        <v>5.22</v>
      </c>
      <c r="CY118">
        <v>5.26</v>
      </c>
      <c r="CZ118">
        <v>5.57</v>
      </c>
      <c r="DA118">
        <v>6.17</v>
      </c>
      <c r="DB118">
        <v>7.02</v>
      </c>
    </row>
    <row r="119" spans="1:106" x14ac:dyDescent="0.25">
      <c r="A119" s="59"/>
      <c r="B119" s="59"/>
      <c r="C119" t="s">
        <v>55</v>
      </c>
      <c r="D119">
        <v>44</v>
      </c>
      <c r="E119" t="s">
        <v>2</v>
      </c>
      <c r="F119">
        <v>-0.89</v>
      </c>
      <c r="G119">
        <v>-2.4900000000000002</v>
      </c>
      <c r="H119">
        <v>-3.95</v>
      </c>
      <c r="I119">
        <v>-5</v>
      </c>
      <c r="J119">
        <v>-5.5</v>
      </c>
      <c r="K119">
        <v>-5.41</v>
      </c>
      <c r="L119">
        <v>-4.83</v>
      </c>
      <c r="M119">
        <v>-3.89</v>
      </c>
      <c r="N119">
        <v>-2.74</v>
      </c>
      <c r="O119">
        <v>-1.5</v>
      </c>
      <c r="P119">
        <v>-0.26</v>
      </c>
      <c r="Q119">
        <v>0.91</v>
      </c>
      <c r="R119">
        <v>1.96</v>
      </c>
      <c r="S119">
        <v>2.89</v>
      </c>
      <c r="T119">
        <v>3.71</v>
      </c>
      <c r="U119">
        <v>4.41</v>
      </c>
      <c r="V119">
        <v>5.03</v>
      </c>
      <c r="W119">
        <v>5.57</v>
      </c>
      <c r="X119">
        <v>6.06</v>
      </c>
      <c r="Y119">
        <v>6.51</v>
      </c>
      <c r="Z119">
        <v>6.91</v>
      </c>
      <c r="AA119">
        <v>7.29</v>
      </c>
      <c r="AB119">
        <v>7.65</v>
      </c>
      <c r="AC119">
        <v>7.98</v>
      </c>
      <c r="AD119">
        <v>8.3000000000000007</v>
      </c>
      <c r="AE119">
        <v>8.6</v>
      </c>
      <c r="AF119">
        <v>8.9</v>
      </c>
      <c r="AG119">
        <v>9.1999999999999993</v>
      </c>
      <c r="AH119">
        <v>9.51</v>
      </c>
      <c r="AI119">
        <v>9.82</v>
      </c>
      <c r="AJ119">
        <v>10.1</v>
      </c>
      <c r="AK119">
        <v>10.5</v>
      </c>
      <c r="AL119">
        <v>10.8</v>
      </c>
      <c r="AM119">
        <v>11.1</v>
      </c>
      <c r="AN119">
        <v>11.4</v>
      </c>
      <c r="AO119">
        <v>11.8</v>
      </c>
      <c r="AP119">
        <v>12.1</v>
      </c>
      <c r="AQ119">
        <v>12.3</v>
      </c>
      <c r="AR119">
        <v>12.6</v>
      </c>
      <c r="AS119">
        <v>12.9</v>
      </c>
      <c r="AT119">
        <v>13.1</v>
      </c>
      <c r="AU119">
        <v>13.2</v>
      </c>
      <c r="AV119">
        <v>13.4</v>
      </c>
      <c r="AW119">
        <v>13.4</v>
      </c>
      <c r="AX119">
        <v>13.5</v>
      </c>
      <c r="AY119">
        <v>13.4</v>
      </c>
      <c r="AZ119">
        <v>13.2</v>
      </c>
      <c r="BA119">
        <v>12.9</v>
      </c>
      <c r="BB119">
        <v>12.4</v>
      </c>
      <c r="BC119">
        <v>11.6</v>
      </c>
      <c r="BD119">
        <v>10.5</v>
      </c>
      <c r="BE119">
        <v>9.06</v>
      </c>
      <c r="BF119">
        <v>7.08</v>
      </c>
      <c r="BG119">
        <v>4.53</v>
      </c>
      <c r="BH119">
        <v>1.39</v>
      </c>
      <c r="BI119">
        <v>-2.2999999999999998</v>
      </c>
      <c r="BJ119">
        <v>-6.41</v>
      </c>
      <c r="BK119">
        <v>-10.7</v>
      </c>
      <c r="BL119">
        <v>-14.8</v>
      </c>
      <c r="BM119">
        <v>-18.399999999999999</v>
      </c>
      <c r="BN119">
        <v>-21.2</v>
      </c>
      <c r="BO119">
        <v>-22.9</v>
      </c>
      <c r="BP119">
        <v>-23.5</v>
      </c>
      <c r="BQ119">
        <v>-23.1</v>
      </c>
      <c r="BR119">
        <v>-21.8</v>
      </c>
      <c r="BS119">
        <v>-20</v>
      </c>
      <c r="BT119">
        <v>-17.8</v>
      </c>
      <c r="BU119">
        <v>-15.5</v>
      </c>
      <c r="BV119">
        <v>-13.1</v>
      </c>
      <c r="BW119">
        <v>-10.9</v>
      </c>
      <c r="BX119">
        <v>-8.91</v>
      </c>
      <c r="BY119">
        <v>-7.09</v>
      </c>
      <c r="BZ119">
        <v>-5.45</v>
      </c>
      <c r="CA119">
        <v>-3.99</v>
      </c>
      <c r="CB119">
        <v>-2.66</v>
      </c>
      <c r="CC119">
        <v>-1.45</v>
      </c>
      <c r="CD119">
        <v>-0.35</v>
      </c>
      <c r="CE119">
        <v>0.63</v>
      </c>
      <c r="CF119">
        <v>1.49</v>
      </c>
      <c r="CG119">
        <v>2.2000000000000002</v>
      </c>
      <c r="CH119">
        <v>2.76</v>
      </c>
      <c r="CI119">
        <v>3.15</v>
      </c>
      <c r="CJ119">
        <v>3.36</v>
      </c>
      <c r="CK119">
        <v>3.4</v>
      </c>
      <c r="CL119">
        <v>3.27</v>
      </c>
      <c r="CM119">
        <v>3.01</v>
      </c>
      <c r="CN119">
        <v>2.67</v>
      </c>
      <c r="CO119">
        <v>2.31</v>
      </c>
      <c r="CP119">
        <v>1.98</v>
      </c>
      <c r="CQ119">
        <v>1.76</v>
      </c>
      <c r="CR119">
        <v>1.68</v>
      </c>
      <c r="CS119">
        <v>1.76</v>
      </c>
      <c r="CT119">
        <v>1.97</v>
      </c>
      <c r="CU119">
        <v>2.25</v>
      </c>
      <c r="CV119">
        <v>2.5099999999999998</v>
      </c>
      <c r="CW119">
        <v>2.65</v>
      </c>
      <c r="CX119">
        <v>2.57</v>
      </c>
      <c r="CY119">
        <v>2.1800000000000002</v>
      </c>
      <c r="CZ119">
        <v>1.43</v>
      </c>
      <c r="DA119">
        <v>0.34</v>
      </c>
      <c r="DB119">
        <v>-1.01</v>
      </c>
    </row>
    <row r="120" spans="1:106" x14ac:dyDescent="0.25">
      <c r="A120" s="59"/>
      <c r="B120" s="59"/>
      <c r="C120" t="s">
        <v>56</v>
      </c>
      <c r="D120">
        <v>44</v>
      </c>
      <c r="E120" t="s">
        <v>2</v>
      </c>
      <c r="F120">
        <v>1.56</v>
      </c>
      <c r="G120">
        <v>1.84</v>
      </c>
      <c r="H120">
        <v>2.16</v>
      </c>
      <c r="I120">
        <v>2.54</v>
      </c>
      <c r="J120">
        <v>2.94</v>
      </c>
      <c r="K120">
        <v>3.38</v>
      </c>
      <c r="L120">
        <v>3.82</v>
      </c>
      <c r="M120">
        <v>4.2699999999999996</v>
      </c>
      <c r="N120">
        <v>4.7</v>
      </c>
      <c r="O120">
        <v>5.09</v>
      </c>
      <c r="P120">
        <v>5.44</v>
      </c>
      <c r="Q120">
        <v>5.71</v>
      </c>
      <c r="R120">
        <v>5.91</v>
      </c>
      <c r="S120">
        <v>6.02</v>
      </c>
      <c r="T120">
        <v>6.04</v>
      </c>
      <c r="U120">
        <v>5.98</v>
      </c>
      <c r="V120">
        <v>5.84</v>
      </c>
      <c r="W120">
        <v>5.63</v>
      </c>
      <c r="X120">
        <v>5.37</v>
      </c>
      <c r="Y120">
        <v>5.0599999999999996</v>
      </c>
      <c r="Z120">
        <v>4.72</v>
      </c>
      <c r="AA120">
        <v>4.3499999999999996</v>
      </c>
      <c r="AB120">
        <v>3.97</v>
      </c>
      <c r="AC120">
        <v>3.57</v>
      </c>
      <c r="AD120">
        <v>3.17</v>
      </c>
      <c r="AE120">
        <v>2.77</v>
      </c>
      <c r="AF120">
        <v>2.37</v>
      </c>
      <c r="AG120">
        <v>1.98</v>
      </c>
      <c r="AH120">
        <v>1.6</v>
      </c>
      <c r="AI120">
        <v>1.23</v>
      </c>
      <c r="AJ120">
        <v>0.89</v>
      </c>
      <c r="AK120">
        <v>0.56999999999999995</v>
      </c>
      <c r="AL120">
        <v>0.28999999999999998</v>
      </c>
      <c r="AM120">
        <v>3.9E-2</v>
      </c>
      <c r="AN120">
        <v>-0.18</v>
      </c>
      <c r="AO120">
        <v>-0.36</v>
      </c>
      <c r="AP120">
        <v>-0.51</v>
      </c>
      <c r="AQ120">
        <v>-0.63</v>
      </c>
      <c r="AR120">
        <v>-0.72</v>
      </c>
      <c r="AS120">
        <v>-0.78</v>
      </c>
      <c r="AT120">
        <v>-0.81</v>
      </c>
      <c r="AU120">
        <v>-0.83</v>
      </c>
      <c r="AV120">
        <v>-0.84</v>
      </c>
      <c r="AW120">
        <v>-0.84</v>
      </c>
      <c r="AX120">
        <v>-0.85</v>
      </c>
      <c r="AY120">
        <v>-0.88</v>
      </c>
      <c r="AZ120">
        <v>-0.94</v>
      </c>
      <c r="BA120">
        <v>-1.02</v>
      </c>
      <c r="BB120">
        <v>-1.1499999999999999</v>
      </c>
      <c r="BC120">
        <v>-1.32</v>
      </c>
      <c r="BD120">
        <v>-1.53</v>
      </c>
      <c r="BE120">
        <v>-1.79</v>
      </c>
      <c r="BF120">
        <v>-2.1</v>
      </c>
      <c r="BG120">
        <v>-2.4500000000000002</v>
      </c>
      <c r="BH120">
        <v>-2.85</v>
      </c>
      <c r="BI120">
        <v>-3.27</v>
      </c>
      <c r="BJ120">
        <v>-3.72</v>
      </c>
      <c r="BK120">
        <v>-4.17</v>
      </c>
      <c r="BL120">
        <v>-4.6100000000000003</v>
      </c>
      <c r="BM120">
        <v>-5.01</v>
      </c>
      <c r="BN120">
        <v>-5.36</v>
      </c>
      <c r="BO120">
        <v>-5.65</v>
      </c>
      <c r="BP120">
        <v>-5.86</v>
      </c>
      <c r="BQ120">
        <v>-5.99</v>
      </c>
      <c r="BR120">
        <v>-6.03</v>
      </c>
      <c r="BS120">
        <v>-5.99</v>
      </c>
      <c r="BT120">
        <v>-5.87</v>
      </c>
      <c r="BU120">
        <v>-5.68</v>
      </c>
      <c r="BV120">
        <v>-5.43</v>
      </c>
      <c r="BW120">
        <v>-5.12</v>
      </c>
      <c r="BX120">
        <v>-4.78</v>
      </c>
      <c r="BY120">
        <v>-4.4000000000000004</v>
      </c>
      <c r="BZ120">
        <v>-4</v>
      </c>
      <c r="CA120">
        <v>-3.58</v>
      </c>
      <c r="CB120">
        <v>-3.15</v>
      </c>
      <c r="CC120">
        <v>-2.73</v>
      </c>
      <c r="CD120">
        <v>-2.31</v>
      </c>
      <c r="CE120">
        <v>-1.9</v>
      </c>
      <c r="CF120">
        <v>-1.51</v>
      </c>
      <c r="CG120">
        <v>-1.1399999999999999</v>
      </c>
      <c r="CH120">
        <v>-0.79</v>
      </c>
      <c r="CI120">
        <v>-0.47</v>
      </c>
      <c r="CJ120">
        <v>-0.18</v>
      </c>
      <c r="CK120">
        <v>7.0999999999999994E-2</v>
      </c>
      <c r="CL120">
        <v>0.28999999999999998</v>
      </c>
      <c r="CM120">
        <v>0.47</v>
      </c>
      <c r="CN120">
        <v>0.61</v>
      </c>
      <c r="CO120">
        <v>0.72</v>
      </c>
      <c r="CP120">
        <v>0.8</v>
      </c>
      <c r="CQ120">
        <v>0.85</v>
      </c>
      <c r="CR120">
        <v>0.88</v>
      </c>
      <c r="CS120">
        <v>0.9</v>
      </c>
      <c r="CT120">
        <v>0.91</v>
      </c>
      <c r="CU120">
        <v>0.92</v>
      </c>
      <c r="CV120">
        <v>0.93</v>
      </c>
      <c r="CW120">
        <v>0.96</v>
      </c>
      <c r="CX120">
        <v>1.01</v>
      </c>
      <c r="CY120">
        <v>1.1000000000000001</v>
      </c>
      <c r="CZ120">
        <v>1.23</v>
      </c>
      <c r="DA120">
        <v>1.4</v>
      </c>
      <c r="DB120">
        <v>1.63</v>
      </c>
    </row>
    <row r="121" spans="1:106" x14ac:dyDescent="0.25">
      <c r="A121" s="59"/>
      <c r="B121" s="59"/>
      <c r="C121" t="s">
        <v>57</v>
      </c>
      <c r="D121">
        <v>44</v>
      </c>
      <c r="E121" t="s">
        <v>2</v>
      </c>
      <c r="F121">
        <v>-0.97</v>
      </c>
      <c r="G121">
        <v>-0.4</v>
      </c>
      <c r="H121">
        <v>0.26</v>
      </c>
      <c r="I121">
        <v>1</v>
      </c>
      <c r="J121">
        <v>1.8</v>
      </c>
      <c r="K121">
        <v>2.64</v>
      </c>
      <c r="L121">
        <v>3.5</v>
      </c>
      <c r="M121">
        <v>4.3600000000000003</v>
      </c>
      <c r="N121">
        <v>5.19</v>
      </c>
      <c r="O121">
        <v>5.97</v>
      </c>
      <c r="P121">
        <v>6.67</v>
      </c>
      <c r="Q121">
        <v>7.25</v>
      </c>
      <c r="R121">
        <v>7.71</v>
      </c>
      <c r="S121">
        <v>8.0299999999999994</v>
      </c>
      <c r="T121">
        <v>8.2100000000000009</v>
      </c>
      <c r="U121">
        <v>8.27</v>
      </c>
      <c r="V121">
        <v>8.2100000000000009</v>
      </c>
      <c r="W121">
        <v>8.0500000000000007</v>
      </c>
      <c r="X121">
        <v>7.83</v>
      </c>
      <c r="Y121">
        <v>7.54</v>
      </c>
      <c r="Z121">
        <v>7.22</v>
      </c>
      <c r="AA121">
        <v>6.88</v>
      </c>
      <c r="AB121">
        <v>6.52</v>
      </c>
      <c r="AC121">
        <v>6.16</v>
      </c>
      <c r="AD121">
        <v>5.81</v>
      </c>
      <c r="AE121">
        <v>5.46</v>
      </c>
      <c r="AF121">
        <v>5.13</v>
      </c>
      <c r="AG121">
        <v>4.8</v>
      </c>
      <c r="AH121">
        <v>4.4800000000000004</v>
      </c>
      <c r="AI121">
        <v>4.18</v>
      </c>
      <c r="AJ121">
        <v>3.89</v>
      </c>
      <c r="AK121">
        <v>3.62</v>
      </c>
      <c r="AL121">
        <v>3.37</v>
      </c>
      <c r="AM121">
        <v>3.14</v>
      </c>
      <c r="AN121">
        <v>2.94</v>
      </c>
      <c r="AO121">
        <v>2.76</v>
      </c>
      <c r="AP121">
        <v>2.6</v>
      </c>
      <c r="AQ121">
        <v>2.46</v>
      </c>
      <c r="AR121">
        <v>2.34</v>
      </c>
      <c r="AS121">
        <v>2.23</v>
      </c>
      <c r="AT121">
        <v>2.14</v>
      </c>
      <c r="AU121">
        <v>2.0499999999999998</v>
      </c>
      <c r="AV121">
        <v>1.96</v>
      </c>
      <c r="AW121">
        <v>1.86</v>
      </c>
      <c r="AX121">
        <v>1.75</v>
      </c>
      <c r="AY121">
        <v>1.6</v>
      </c>
      <c r="AZ121">
        <v>1.42</v>
      </c>
      <c r="BA121">
        <v>1.2</v>
      </c>
      <c r="BB121">
        <v>0.93</v>
      </c>
      <c r="BC121">
        <v>0.6</v>
      </c>
      <c r="BD121">
        <v>0.22</v>
      </c>
      <c r="BE121">
        <v>-0.22</v>
      </c>
      <c r="BF121">
        <v>-0.72</v>
      </c>
      <c r="BG121">
        <v>-1.29</v>
      </c>
      <c r="BH121">
        <v>-1.92</v>
      </c>
      <c r="BI121">
        <v>-2.6</v>
      </c>
      <c r="BJ121">
        <v>-3.33</v>
      </c>
      <c r="BK121">
        <v>-4.08</v>
      </c>
      <c r="BL121">
        <v>-4.82</v>
      </c>
      <c r="BM121">
        <v>-5.53</v>
      </c>
      <c r="BN121">
        <v>-6.16</v>
      </c>
      <c r="BO121">
        <v>-6.68</v>
      </c>
      <c r="BP121">
        <v>-7.07</v>
      </c>
      <c r="BQ121">
        <v>-7.31</v>
      </c>
      <c r="BR121">
        <v>-7.39</v>
      </c>
      <c r="BS121">
        <v>-7.31</v>
      </c>
      <c r="BT121">
        <v>-7.08</v>
      </c>
      <c r="BU121">
        <v>-6.72</v>
      </c>
      <c r="BV121">
        <v>-6.25</v>
      </c>
      <c r="BW121">
        <v>-5.69</v>
      </c>
      <c r="BX121">
        <v>-5.08</v>
      </c>
      <c r="BY121">
        <v>-4.43</v>
      </c>
      <c r="BZ121">
        <v>-3.77</v>
      </c>
      <c r="CA121">
        <v>-3.11</v>
      </c>
      <c r="CB121">
        <v>-2.48</v>
      </c>
      <c r="CC121">
        <v>-1.88</v>
      </c>
      <c r="CD121">
        <v>-1.34</v>
      </c>
      <c r="CE121">
        <v>-0.85</v>
      </c>
      <c r="CF121">
        <v>-0.41</v>
      </c>
      <c r="CG121">
        <v>-4.7E-2</v>
      </c>
      <c r="CH121">
        <v>0.26</v>
      </c>
      <c r="CI121">
        <v>0.49</v>
      </c>
      <c r="CJ121">
        <v>0.66</v>
      </c>
      <c r="CK121">
        <v>0.76</v>
      </c>
      <c r="CL121">
        <v>0.79</v>
      </c>
      <c r="CM121">
        <v>0.76</v>
      </c>
      <c r="CN121">
        <v>0.68</v>
      </c>
      <c r="CO121">
        <v>0.53</v>
      </c>
      <c r="CP121">
        <v>0.33</v>
      </c>
      <c r="CQ121">
        <v>7.9000000000000001E-2</v>
      </c>
      <c r="CR121">
        <v>-0.21</v>
      </c>
      <c r="CS121">
        <v>-0.51</v>
      </c>
      <c r="CT121">
        <v>-0.83</v>
      </c>
      <c r="CU121">
        <v>-1.1299999999999999</v>
      </c>
      <c r="CV121">
        <v>-1.37</v>
      </c>
      <c r="CW121">
        <v>-1.53</v>
      </c>
      <c r="CX121">
        <v>-1.57</v>
      </c>
      <c r="CY121">
        <v>-1.48</v>
      </c>
      <c r="CZ121">
        <v>-1.25</v>
      </c>
      <c r="DA121">
        <v>-0.9</v>
      </c>
      <c r="DB121">
        <v>-0.44</v>
      </c>
    </row>
    <row r="122" spans="1:106" x14ac:dyDescent="0.25">
      <c r="A122" s="59"/>
      <c r="B122" s="59"/>
      <c r="C122" t="s">
        <v>58</v>
      </c>
      <c r="D122">
        <v>44</v>
      </c>
      <c r="E122" t="s">
        <v>2</v>
      </c>
      <c r="F122">
        <v>-0.03</v>
      </c>
      <c r="G122">
        <v>-0.16</v>
      </c>
      <c r="H122">
        <v>-0.23</v>
      </c>
      <c r="I122">
        <v>-0.24</v>
      </c>
      <c r="J122">
        <v>-0.19</v>
      </c>
      <c r="K122">
        <v>-9.7000000000000003E-2</v>
      </c>
      <c r="L122">
        <v>4.7E-2</v>
      </c>
      <c r="M122">
        <v>0.25</v>
      </c>
      <c r="N122">
        <v>0.49</v>
      </c>
      <c r="O122">
        <v>0.71</v>
      </c>
      <c r="P122">
        <v>0.86</v>
      </c>
      <c r="Q122">
        <v>0.91</v>
      </c>
      <c r="R122">
        <v>0.86</v>
      </c>
      <c r="S122">
        <v>0.74</v>
      </c>
      <c r="T122">
        <v>0.59</v>
      </c>
      <c r="U122">
        <v>0.48</v>
      </c>
      <c r="V122">
        <v>0.44</v>
      </c>
      <c r="W122">
        <v>0.48</v>
      </c>
      <c r="X122">
        <v>0.59</v>
      </c>
      <c r="Y122">
        <v>0.73</v>
      </c>
      <c r="Z122">
        <v>0.89</v>
      </c>
      <c r="AA122">
        <v>1.02</v>
      </c>
      <c r="AB122">
        <v>1.1200000000000001</v>
      </c>
      <c r="AC122">
        <v>1.18</v>
      </c>
      <c r="AD122">
        <v>1.2</v>
      </c>
      <c r="AE122">
        <v>1.19</v>
      </c>
      <c r="AF122">
        <v>1.17</v>
      </c>
      <c r="AG122">
        <v>1.1499999999999999</v>
      </c>
      <c r="AH122">
        <v>1.1399999999999999</v>
      </c>
      <c r="AI122">
        <v>1.1299999999999999</v>
      </c>
      <c r="AJ122">
        <v>1.1399999999999999</v>
      </c>
      <c r="AK122">
        <v>1.1499999999999999</v>
      </c>
      <c r="AL122">
        <v>1.18</v>
      </c>
      <c r="AM122">
        <v>1.21</v>
      </c>
      <c r="AN122">
        <v>1.25</v>
      </c>
      <c r="AO122">
        <v>1.3</v>
      </c>
      <c r="AP122">
        <v>1.34</v>
      </c>
      <c r="AQ122">
        <v>1.38</v>
      </c>
      <c r="AR122">
        <v>1.41</v>
      </c>
      <c r="AS122">
        <v>1.43</v>
      </c>
      <c r="AT122">
        <v>1.43</v>
      </c>
      <c r="AU122">
        <v>1.4</v>
      </c>
      <c r="AV122">
        <v>1.35</v>
      </c>
      <c r="AW122">
        <v>1.27</v>
      </c>
      <c r="AX122">
        <v>1.1599999999999999</v>
      </c>
      <c r="AY122">
        <v>1.03</v>
      </c>
      <c r="AZ122">
        <v>0.87</v>
      </c>
      <c r="BA122">
        <v>0.69</v>
      </c>
      <c r="BB122">
        <v>0.49</v>
      </c>
      <c r="BC122">
        <v>0.27</v>
      </c>
      <c r="BD122">
        <v>4.7E-2</v>
      </c>
      <c r="BE122">
        <v>-0.17</v>
      </c>
      <c r="BF122">
        <v>-0.37</v>
      </c>
      <c r="BG122">
        <v>-0.53</v>
      </c>
      <c r="BH122">
        <v>-0.6</v>
      </c>
      <c r="BI122">
        <v>-0.56999999999999995</v>
      </c>
      <c r="BJ122">
        <v>-0.39</v>
      </c>
      <c r="BK122">
        <v>-4.5999999999999999E-2</v>
      </c>
      <c r="BL122">
        <v>0.44</v>
      </c>
      <c r="BM122">
        <v>1.01</v>
      </c>
      <c r="BN122">
        <v>1.58</v>
      </c>
      <c r="BO122">
        <v>2.04</v>
      </c>
      <c r="BP122">
        <v>2.27</v>
      </c>
      <c r="BQ122">
        <v>2.2000000000000002</v>
      </c>
      <c r="BR122">
        <v>1.82</v>
      </c>
      <c r="BS122">
        <v>1.1599999999999999</v>
      </c>
      <c r="BT122">
        <v>0.31</v>
      </c>
      <c r="BU122">
        <v>-0.64</v>
      </c>
      <c r="BV122">
        <v>-1.56</v>
      </c>
      <c r="BW122">
        <v>-2.36</v>
      </c>
      <c r="BX122">
        <v>-2.99</v>
      </c>
      <c r="BY122">
        <v>-3.41</v>
      </c>
      <c r="BZ122">
        <v>-3.62</v>
      </c>
      <c r="CA122">
        <v>-3.62</v>
      </c>
      <c r="CB122">
        <v>-3.43</v>
      </c>
      <c r="CC122">
        <v>-3.08</v>
      </c>
      <c r="CD122">
        <v>-2.58</v>
      </c>
      <c r="CE122">
        <v>-1.98</v>
      </c>
      <c r="CF122">
        <v>-1.33</v>
      </c>
      <c r="CG122">
        <v>-0.65</v>
      </c>
      <c r="CH122">
        <v>-1.2E-2</v>
      </c>
      <c r="CI122">
        <v>0.56000000000000005</v>
      </c>
      <c r="CJ122">
        <v>1</v>
      </c>
      <c r="CK122">
        <v>1.28</v>
      </c>
      <c r="CL122">
        <v>1.38</v>
      </c>
      <c r="CM122">
        <v>1.29</v>
      </c>
      <c r="CN122">
        <v>1.05</v>
      </c>
      <c r="CO122">
        <v>0.71</v>
      </c>
      <c r="CP122">
        <v>0.33</v>
      </c>
      <c r="CQ122">
        <v>-5.4999999999999997E-3</v>
      </c>
      <c r="CR122">
        <v>-0.25</v>
      </c>
      <c r="CS122">
        <v>-0.35</v>
      </c>
      <c r="CT122">
        <v>-0.33</v>
      </c>
      <c r="CU122">
        <v>-0.2</v>
      </c>
      <c r="CV122">
        <v>-3.4000000000000002E-2</v>
      </c>
      <c r="CW122">
        <v>0.11</v>
      </c>
      <c r="CX122">
        <v>0.19</v>
      </c>
      <c r="CY122">
        <v>0.18</v>
      </c>
      <c r="CZ122">
        <v>0.1</v>
      </c>
      <c r="DA122">
        <v>-2.1000000000000001E-2</v>
      </c>
      <c r="DB122">
        <v>-0.16</v>
      </c>
    </row>
    <row r="123" spans="1:106" x14ac:dyDescent="0.25">
      <c r="A123" s="59"/>
      <c r="B123" s="59"/>
      <c r="C123" t="s">
        <v>59</v>
      </c>
      <c r="D123">
        <v>44</v>
      </c>
      <c r="E123" t="s">
        <v>2</v>
      </c>
      <c r="F123">
        <v>5.0599999999999996</v>
      </c>
      <c r="G123">
        <v>5</v>
      </c>
      <c r="H123">
        <v>4.88</v>
      </c>
      <c r="I123">
        <v>4.7</v>
      </c>
      <c r="J123">
        <v>4.4800000000000004</v>
      </c>
      <c r="K123">
        <v>4.24</v>
      </c>
      <c r="L123">
        <v>3.99</v>
      </c>
      <c r="M123">
        <v>3.75</v>
      </c>
      <c r="N123">
        <v>3.52</v>
      </c>
      <c r="O123">
        <v>3.32</v>
      </c>
      <c r="P123">
        <v>3.16</v>
      </c>
      <c r="Q123">
        <v>3.04</v>
      </c>
      <c r="R123">
        <v>2.97</v>
      </c>
      <c r="S123">
        <v>2.93</v>
      </c>
      <c r="T123">
        <v>2.92</v>
      </c>
      <c r="U123">
        <v>2.94</v>
      </c>
      <c r="V123">
        <v>2.98</v>
      </c>
      <c r="W123">
        <v>3.03</v>
      </c>
      <c r="X123">
        <v>3.09</v>
      </c>
      <c r="Y123">
        <v>3.13</v>
      </c>
      <c r="Z123">
        <v>3.16</v>
      </c>
      <c r="AA123">
        <v>3.18</v>
      </c>
      <c r="AB123">
        <v>3.18</v>
      </c>
      <c r="AC123">
        <v>3.15</v>
      </c>
      <c r="AD123">
        <v>3.09</v>
      </c>
      <c r="AE123">
        <v>3.01</v>
      </c>
      <c r="AF123">
        <v>2.89</v>
      </c>
      <c r="AG123">
        <v>2.74</v>
      </c>
      <c r="AH123">
        <v>2.56</v>
      </c>
      <c r="AI123">
        <v>2.35</v>
      </c>
      <c r="AJ123">
        <v>2.1</v>
      </c>
      <c r="AK123">
        <v>1.82</v>
      </c>
      <c r="AL123">
        <v>1.52</v>
      </c>
      <c r="AM123">
        <v>1.18</v>
      </c>
      <c r="AN123">
        <v>0.81</v>
      </c>
      <c r="AO123">
        <v>0.41</v>
      </c>
      <c r="AP123">
        <v>-1.2999999999999999E-2</v>
      </c>
      <c r="AQ123">
        <v>-0.46</v>
      </c>
      <c r="AR123">
        <v>-0.93</v>
      </c>
      <c r="AS123">
        <v>-1.41</v>
      </c>
      <c r="AT123">
        <v>-1.88</v>
      </c>
      <c r="AU123">
        <v>-2.35</v>
      </c>
      <c r="AV123">
        <v>-2.8</v>
      </c>
      <c r="AW123">
        <v>-3.22</v>
      </c>
      <c r="AX123">
        <v>-3.6</v>
      </c>
      <c r="AY123">
        <v>-3.93</v>
      </c>
      <c r="AZ123">
        <v>-4.21</v>
      </c>
      <c r="BA123">
        <v>-4.42</v>
      </c>
      <c r="BB123">
        <v>-4.58</v>
      </c>
      <c r="BC123">
        <v>-4.67</v>
      </c>
      <c r="BD123">
        <v>-4.7</v>
      </c>
      <c r="BE123">
        <v>-4.66</v>
      </c>
      <c r="BF123">
        <v>-4.5599999999999996</v>
      </c>
      <c r="BG123">
        <v>-4.42</v>
      </c>
      <c r="BH123">
        <v>-4.2300000000000004</v>
      </c>
      <c r="BI123">
        <v>-4.01</v>
      </c>
      <c r="BJ123">
        <v>-3.79</v>
      </c>
      <c r="BK123">
        <v>-3.56</v>
      </c>
      <c r="BL123">
        <v>-3.35</v>
      </c>
      <c r="BM123">
        <v>-3.16</v>
      </c>
      <c r="BN123">
        <v>-3.01</v>
      </c>
      <c r="BO123">
        <v>-2.89</v>
      </c>
      <c r="BP123">
        <v>-2.81</v>
      </c>
      <c r="BQ123">
        <v>-2.78</v>
      </c>
      <c r="BR123">
        <v>-2.77</v>
      </c>
      <c r="BS123">
        <v>-2.79</v>
      </c>
      <c r="BT123">
        <v>-2.83</v>
      </c>
      <c r="BU123">
        <v>-2.89</v>
      </c>
      <c r="BV123">
        <v>-2.94</v>
      </c>
      <c r="BW123">
        <v>-2.99</v>
      </c>
      <c r="BX123">
        <v>-3.03</v>
      </c>
      <c r="BY123">
        <v>-3.06</v>
      </c>
      <c r="BZ123">
        <v>-3.06</v>
      </c>
      <c r="CA123">
        <v>-3.04</v>
      </c>
      <c r="CB123">
        <v>-2.99</v>
      </c>
      <c r="CC123">
        <v>-2.91</v>
      </c>
      <c r="CD123">
        <v>-2.8</v>
      </c>
      <c r="CE123">
        <v>-2.65</v>
      </c>
      <c r="CF123">
        <v>-2.48</v>
      </c>
      <c r="CG123">
        <v>-2.27</v>
      </c>
      <c r="CH123">
        <v>-2.02</v>
      </c>
      <c r="CI123">
        <v>-1.74</v>
      </c>
      <c r="CJ123">
        <v>-1.43</v>
      </c>
      <c r="CK123">
        <v>-1.0900000000000001</v>
      </c>
      <c r="CL123">
        <v>-0.72</v>
      </c>
      <c r="CM123">
        <v>-0.32</v>
      </c>
      <c r="CN123">
        <v>9.6000000000000002E-2</v>
      </c>
      <c r="CO123">
        <v>0.53</v>
      </c>
      <c r="CP123">
        <v>0.99</v>
      </c>
      <c r="CQ123">
        <v>1.44</v>
      </c>
      <c r="CR123">
        <v>1.9</v>
      </c>
      <c r="CS123">
        <v>2.35</v>
      </c>
      <c r="CT123">
        <v>2.78</v>
      </c>
      <c r="CU123">
        <v>3.18</v>
      </c>
      <c r="CV123">
        <v>3.54</v>
      </c>
      <c r="CW123">
        <v>3.86</v>
      </c>
      <c r="CX123">
        <v>4.12</v>
      </c>
      <c r="CY123">
        <v>4.32</v>
      </c>
      <c r="CZ123">
        <v>4.45</v>
      </c>
      <c r="DA123">
        <v>4.5199999999999996</v>
      </c>
      <c r="DB123">
        <v>4.5199999999999996</v>
      </c>
    </row>
    <row r="124" spans="1:106" x14ac:dyDescent="0.25">
      <c r="A124" s="59"/>
      <c r="B124" s="59"/>
      <c r="C124" t="s">
        <v>60</v>
      </c>
      <c r="D124">
        <v>44</v>
      </c>
      <c r="E124" t="s">
        <v>2</v>
      </c>
      <c r="F124">
        <v>-13.4</v>
      </c>
      <c r="G124">
        <v>-11.5</v>
      </c>
      <c r="H124">
        <v>-9.67</v>
      </c>
      <c r="I124">
        <v>-8.02</v>
      </c>
      <c r="J124">
        <v>-6.53</v>
      </c>
      <c r="K124">
        <v>-5.17</v>
      </c>
      <c r="L124">
        <v>-3.9</v>
      </c>
      <c r="M124">
        <v>-2.66</v>
      </c>
      <c r="N124">
        <v>-1.47</v>
      </c>
      <c r="O124">
        <v>-0.45</v>
      </c>
      <c r="P124">
        <v>0.27</v>
      </c>
      <c r="Q124">
        <v>0.64</v>
      </c>
      <c r="R124">
        <v>0.68</v>
      </c>
      <c r="S124">
        <v>0.45</v>
      </c>
      <c r="T124">
        <v>0.09</v>
      </c>
      <c r="U124">
        <v>-0.25</v>
      </c>
      <c r="V124">
        <v>-0.44</v>
      </c>
      <c r="W124">
        <v>-0.44</v>
      </c>
      <c r="X124">
        <v>-0.24</v>
      </c>
      <c r="Y124">
        <v>0.13</v>
      </c>
      <c r="Z124">
        <v>0.61</v>
      </c>
      <c r="AA124">
        <v>1.1200000000000001</v>
      </c>
      <c r="AB124">
        <v>1.61</v>
      </c>
      <c r="AC124">
        <v>2.04</v>
      </c>
      <c r="AD124">
        <v>2.4</v>
      </c>
      <c r="AE124">
        <v>2.71</v>
      </c>
      <c r="AF124">
        <v>2.98</v>
      </c>
      <c r="AG124">
        <v>3.21</v>
      </c>
      <c r="AH124">
        <v>3.41</v>
      </c>
      <c r="AI124">
        <v>3.59</v>
      </c>
      <c r="AJ124">
        <v>3.74</v>
      </c>
      <c r="AK124">
        <v>3.88</v>
      </c>
      <c r="AL124">
        <v>4.01</v>
      </c>
      <c r="AM124">
        <v>4.13</v>
      </c>
      <c r="AN124">
        <v>4.24</v>
      </c>
      <c r="AO124">
        <v>4.32</v>
      </c>
      <c r="AP124">
        <v>4.3899999999999997</v>
      </c>
      <c r="AQ124">
        <v>4.42</v>
      </c>
      <c r="AR124">
        <v>4.4000000000000004</v>
      </c>
      <c r="AS124">
        <v>4.33</v>
      </c>
      <c r="AT124">
        <v>4.22</v>
      </c>
      <c r="AU124">
        <v>4.0599999999999996</v>
      </c>
      <c r="AV124">
        <v>3.86</v>
      </c>
      <c r="AW124">
        <v>3.64</v>
      </c>
      <c r="AX124">
        <v>3.39</v>
      </c>
      <c r="AY124">
        <v>3.12</v>
      </c>
      <c r="AZ124">
        <v>2.82</v>
      </c>
      <c r="BA124">
        <v>2.4700000000000002</v>
      </c>
      <c r="BB124">
        <v>2.0699999999999998</v>
      </c>
      <c r="BC124">
        <v>1.63</v>
      </c>
      <c r="BD124">
        <v>1.1399999999999999</v>
      </c>
      <c r="BE124">
        <v>0.63</v>
      </c>
      <c r="BF124">
        <v>0.13</v>
      </c>
      <c r="BG124">
        <v>-0.28000000000000003</v>
      </c>
      <c r="BH124">
        <v>-0.56000000000000005</v>
      </c>
      <c r="BI124">
        <v>-0.65</v>
      </c>
      <c r="BJ124">
        <v>-0.5</v>
      </c>
      <c r="BK124">
        <v>-0.12</v>
      </c>
      <c r="BL124">
        <v>0.44</v>
      </c>
      <c r="BM124">
        <v>1.08</v>
      </c>
      <c r="BN124">
        <v>1.68</v>
      </c>
      <c r="BO124">
        <v>2.1</v>
      </c>
      <c r="BP124">
        <v>2.2599999999999998</v>
      </c>
      <c r="BQ124">
        <v>2.11</v>
      </c>
      <c r="BR124">
        <v>1.65</v>
      </c>
      <c r="BS124">
        <v>0.96</v>
      </c>
      <c r="BT124">
        <v>0.11</v>
      </c>
      <c r="BU124">
        <v>-0.77</v>
      </c>
      <c r="BV124">
        <v>-1.6</v>
      </c>
      <c r="BW124">
        <v>-2.31</v>
      </c>
      <c r="BX124">
        <v>-2.84</v>
      </c>
      <c r="BY124">
        <v>-3.18</v>
      </c>
      <c r="BZ124">
        <v>-3.34</v>
      </c>
      <c r="CA124">
        <v>-3.33</v>
      </c>
      <c r="CB124">
        <v>-3.17</v>
      </c>
      <c r="CC124">
        <v>-2.88</v>
      </c>
      <c r="CD124">
        <v>-2.48</v>
      </c>
      <c r="CE124">
        <v>-1.99</v>
      </c>
      <c r="CF124">
        <v>-1.45</v>
      </c>
      <c r="CG124">
        <v>-0.89</v>
      </c>
      <c r="CH124">
        <v>-0.34</v>
      </c>
      <c r="CI124">
        <v>0.17</v>
      </c>
      <c r="CJ124">
        <v>0.56999999999999995</v>
      </c>
      <c r="CK124">
        <v>0.81</v>
      </c>
      <c r="CL124">
        <v>0.81</v>
      </c>
      <c r="CM124">
        <v>0.52</v>
      </c>
      <c r="CN124">
        <v>-0.14000000000000001</v>
      </c>
      <c r="CO124">
        <v>-1.18</v>
      </c>
      <c r="CP124">
        <v>-2.65</v>
      </c>
      <c r="CQ124">
        <v>-4.51</v>
      </c>
      <c r="CR124">
        <v>-6.71</v>
      </c>
      <c r="CS124">
        <v>-9.15</v>
      </c>
      <c r="CT124">
        <v>-11.6</v>
      </c>
      <c r="CU124">
        <v>-13.9</v>
      </c>
      <c r="CV124">
        <v>-15.7</v>
      </c>
      <c r="CW124">
        <v>-16.8</v>
      </c>
      <c r="CX124">
        <v>-17.2</v>
      </c>
      <c r="CY124">
        <v>-16.8</v>
      </c>
      <c r="CZ124">
        <v>-15.7</v>
      </c>
      <c r="DA124">
        <v>-14.2</v>
      </c>
      <c r="DB124">
        <v>-12.5</v>
      </c>
    </row>
    <row r="125" spans="1:106" x14ac:dyDescent="0.25">
      <c r="A125" s="59"/>
      <c r="B125" s="59"/>
      <c r="C125" t="s">
        <v>61</v>
      </c>
      <c r="D125">
        <v>44</v>
      </c>
      <c r="E125" t="s">
        <v>2</v>
      </c>
      <c r="F125">
        <v>6.15</v>
      </c>
      <c r="G125">
        <v>4.7300000000000004</v>
      </c>
      <c r="H125">
        <v>3.8</v>
      </c>
      <c r="I125">
        <v>3.54</v>
      </c>
      <c r="J125">
        <v>3.96</v>
      </c>
      <c r="K125">
        <v>4.8899999999999997</v>
      </c>
      <c r="L125">
        <v>6.07</v>
      </c>
      <c r="M125">
        <v>7.19</v>
      </c>
      <c r="N125">
        <v>8.0299999999999994</v>
      </c>
      <c r="O125">
        <v>8.5399999999999991</v>
      </c>
      <c r="P125">
        <v>8.7200000000000006</v>
      </c>
      <c r="Q125">
        <v>8.65</v>
      </c>
      <c r="R125">
        <v>8.39</v>
      </c>
      <c r="S125">
        <v>8.02</v>
      </c>
      <c r="T125">
        <v>7.59</v>
      </c>
      <c r="U125">
        <v>7.13</v>
      </c>
      <c r="V125">
        <v>6.68</v>
      </c>
      <c r="W125">
        <v>6.26</v>
      </c>
      <c r="X125">
        <v>5.89</v>
      </c>
      <c r="Y125">
        <v>5.57</v>
      </c>
      <c r="Z125">
        <v>5.28</v>
      </c>
      <c r="AA125">
        <v>5.0199999999999996</v>
      </c>
      <c r="AB125">
        <v>4.7699999999999996</v>
      </c>
      <c r="AC125">
        <v>4.51</v>
      </c>
      <c r="AD125">
        <v>4.25</v>
      </c>
      <c r="AE125">
        <v>3.99</v>
      </c>
      <c r="AF125">
        <v>3.74</v>
      </c>
      <c r="AG125">
        <v>3.52</v>
      </c>
      <c r="AH125">
        <v>3.35</v>
      </c>
      <c r="AI125">
        <v>3.24</v>
      </c>
      <c r="AJ125">
        <v>3.17</v>
      </c>
      <c r="AK125">
        <v>3.14</v>
      </c>
      <c r="AL125">
        <v>3.12</v>
      </c>
      <c r="AM125">
        <v>3.11</v>
      </c>
      <c r="AN125">
        <v>3.09</v>
      </c>
      <c r="AO125">
        <v>3.08</v>
      </c>
      <c r="AP125">
        <v>3.06</v>
      </c>
      <c r="AQ125">
        <v>3.05</v>
      </c>
      <c r="AR125">
        <v>3.06</v>
      </c>
      <c r="AS125">
        <v>3.11</v>
      </c>
      <c r="AT125">
        <v>3.23</v>
      </c>
      <c r="AU125">
        <v>3.42</v>
      </c>
      <c r="AV125">
        <v>3.7</v>
      </c>
      <c r="AW125">
        <v>4.08</v>
      </c>
      <c r="AX125">
        <v>4.57</v>
      </c>
      <c r="AY125">
        <v>5.14</v>
      </c>
      <c r="AZ125">
        <v>5.79</v>
      </c>
      <c r="BA125">
        <v>6.48</v>
      </c>
      <c r="BB125">
        <v>7.16</v>
      </c>
      <c r="BC125">
        <v>7.76</v>
      </c>
      <c r="BD125">
        <v>8.1999999999999993</v>
      </c>
      <c r="BE125">
        <v>8.41</v>
      </c>
      <c r="BF125">
        <v>8.32</v>
      </c>
      <c r="BG125">
        <v>7.9</v>
      </c>
      <c r="BH125">
        <v>7.15</v>
      </c>
      <c r="BI125">
        <v>6.14</v>
      </c>
      <c r="BJ125">
        <v>4.9800000000000004</v>
      </c>
      <c r="BK125">
        <v>3.86</v>
      </c>
      <c r="BL125">
        <v>2.96</v>
      </c>
      <c r="BM125">
        <v>2.4700000000000002</v>
      </c>
      <c r="BN125">
        <v>2.52</v>
      </c>
      <c r="BO125">
        <v>3.12</v>
      </c>
      <c r="BP125">
        <v>4.21</v>
      </c>
      <c r="BQ125">
        <v>5.59</v>
      </c>
      <c r="BR125">
        <v>7.03</v>
      </c>
      <c r="BS125">
        <v>8.27</v>
      </c>
      <c r="BT125">
        <v>9.15</v>
      </c>
      <c r="BU125">
        <v>9.56</v>
      </c>
      <c r="BV125">
        <v>9.52</v>
      </c>
      <c r="BW125">
        <v>9.09</v>
      </c>
      <c r="BX125">
        <v>8.41</v>
      </c>
      <c r="BY125">
        <v>7.61</v>
      </c>
      <c r="BZ125">
        <v>6.8</v>
      </c>
      <c r="CA125">
        <v>6.08</v>
      </c>
      <c r="CB125">
        <v>5.48</v>
      </c>
      <c r="CC125">
        <v>5.01</v>
      </c>
      <c r="CD125">
        <v>4.66</v>
      </c>
      <c r="CE125">
        <v>4.3600000000000003</v>
      </c>
      <c r="CF125">
        <v>4.07</v>
      </c>
      <c r="CG125">
        <v>3.72</v>
      </c>
      <c r="CH125">
        <v>3.28</v>
      </c>
      <c r="CI125">
        <v>2.7</v>
      </c>
      <c r="CJ125">
        <v>2</v>
      </c>
      <c r="CK125">
        <v>1.22</v>
      </c>
      <c r="CL125">
        <v>0.45</v>
      </c>
      <c r="CM125">
        <v>-0.22</v>
      </c>
      <c r="CN125">
        <v>-0.66</v>
      </c>
      <c r="CO125">
        <v>-0.76</v>
      </c>
      <c r="CP125">
        <v>-0.41</v>
      </c>
      <c r="CQ125">
        <v>0.44</v>
      </c>
      <c r="CR125">
        <v>1.77</v>
      </c>
      <c r="CS125">
        <v>3.49</v>
      </c>
      <c r="CT125">
        <v>5.42</v>
      </c>
      <c r="CU125">
        <v>7.31</v>
      </c>
      <c r="CV125">
        <v>8.9</v>
      </c>
      <c r="CW125">
        <v>9.9499999999999993</v>
      </c>
      <c r="CX125">
        <v>10.3</v>
      </c>
      <c r="CY125">
        <v>9.9</v>
      </c>
      <c r="CZ125">
        <v>8.89</v>
      </c>
      <c r="DA125">
        <v>7.52</v>
      </c>
      <c r="DB125">
        <v>6.06</v>
      </c>
    </row>
    <row r="126" spans="1:106" x14ac:dyDescent="0.25">
      <c r="A126" s="59"/>
      <c r="B126" s="59"/>
      <c r="C126" t="s">
        <v>62</v>
      </c>
      <c r="D126">
        <v>44</v>
      </c>
      <c r="E126" t="s">
        <v>2</v>
      </c>
      <c r="F126">
        <v>11.8</v>
      </c>
      <c r="G126">
        <v>11.4</v>
      </c>
      <c r="H126">
        <v>10.5</v>
      </c>
      <c r="I126">
        <v>9.2100000000000009</v>
      </c>
      <c r="J126">
        <v>7.48</v>
      </c>
      <c r="K126">
        <v>5.41</v>
      </c>
      <c r="L126">
        <v>3.21</v>
      </c>
      <c r="M126">
        <v>1.06</v>
      </c>
      <c r="N126">
        <v>-0.81</v>
      </c>
      <c r="O126">
        <v>-2.25</v>
      </c>
      <c r="P126">
        <v>-3.16</v>
      </c>
      <c r="Q126">
        <v>-3.54</v>
      </c>
      <c r="R126">
        <v>-3.43</v>
      </c>
      <c r="S126">
        <v>-2.95</v>
      </c>
      <c r="T126">
        <v>-2.2599999999999998</v>
      </c>
      <c r="U126">
        <v>-1.52</v>
      </c>
      <c r="V126">
        <v>-0.86</v>
      </c>
      <c r="W126">
        <v>-0.37</v>
      </c>
      <c r="X126">
        <v>-8.2000000000000003E-2</v>
      </c>
      <c r="Y126">
        <v>3.1E-2</v>
      </c>
      <c r="Z126">
        <v>1.9E-2</v>
      </c>
      <c r="AA126">
        <v>-4.2999999999999997E-2</v>
      </c>
      <c r="AB126">
        <v>-8.7999999999999995E-2</v>
      </c>
      <c r="AC126">
        <v>-7.1999999999999995E-2</v>
      </c>
      <c r="AD126">
        <v>1.4E-2</v>
      </c>
      <c r="AE126">
        <v>0.16</v>
      </c>
      <c r="AF126">
        <v>0.34</v>
      </c>
      <c r="AG126">
        <v>0.53</v>
      </c>
      <c r="AH126">
        <v>0.7</v>
      </c>
      <c r="AI126">
        <v>0.84</v>
      </c>
      <c r="AJ126">
        <v>0.95</v>
      </c>
      <c r="AK126">
        <v>1.04</v>
      </c>
      <c r="AL126">
        <v>1.1200000000000001</v>
      </c>
      <c r="AM126">
        <v>1.2</v>
      </c>
      <c r="AN126">
        <v>1.29</v>
      </c>
      <c r="AO126">
        <v>1.42</v>
      </c>
      <c r="AP126">
        <v>1.58</v>
      </c>
      <c r="AQ126">
        <v>1.78</v>
      </c>
      <c r="AR126">
        <v>2.02</v>
      </c>
      <c r="AS126">
        <v>2.2999999999999998</v>
      </c>
      <c r="AT126">
        <v>2.59</v>
      </c>
      <c r="AU126">
        <v>2.9</v>
      </c>
      <c r="AV126">
        <v>3.18</v>
      </c>
      <c r="AW126">
        <v>3.43</v>
      </c>
      <c r="AX126">
        <v>3.64</v>
      </c>
      <c r="AY126">
        <v>3.8</v>
      </c>
      <c r="AZ126">
        <v>3.93</v>
      </c>
      <c r="BA126">
        <v>4.07</v>
      </c>
      <c r="BB126">
        <v>4.2699999999999996</v>
      </c>
      <c r="BC126">
        <v>4.59</v>
      </c>
      <c r="BD126">
        <v>5.08</v>
      </c>
      <c r="BE126">
        <v>5.81</v>
      </c>
      <c r="BF126">
        <v>6.8</v>
      </c>
      <c r="BG126">
        <v>8.06</v>
      </c>
      <c r="BH126">
        <v>9.5</v>
      </c>
      <c r="BI126">
        <v>11</v>
      </c>
      <c r="BJ126">
        <v>12.3</v>
      </c>
      <c r="BK126">
        <v>13.3</v>
      </c>
      <c r="BL126">
        <v>13.8</v>
      </c>
      <c r="BM126">
        <v>13.6</v>
      </c>
      <c r="BN126">
        <v>12.8</v>
      </c>
      <c r="BO126">
        <v>11.4</v>
      </c>
      <c r="BP126">
        <v>9.58</v>
      </c>
      <c r="BQ126">
        <v>7.54</v>
      </c>
      <c r="BR126">
        <v>5.47</v>
      </c>
      <c r="BS126">
        <v>3.55</v>
      </c>
      <c r="BT126">
        <v>1.94</v>
      </c>
      <c r="BU126">
        <v>0.77</v>
      </c>
      <c r="BV126">
        <v>6.4000000000000001E-2</v>
      </c>
      <c r="BW126">
        <v>-0.21</v>
      </c>
      <c r="BX126">
        <v>-0.16</v>
      </c>
      <c r="BY126">
        <v>0.12</v>
      </c>
      <c r="BZ126">
        <v>0.48</v>
      </c>
      <c r="CA126">
        <v>0.81</v>
      </c>
      <c r="CB126">
        <v>1.03</v>
      </c>
      <c r="CC126">
        <v>1.0900000000000001</v>
      </c>
      <c r="CD126">
        <v>0.99</v>
      </c>
      <c r="CE126">
        <v>0.73</v>
      </c>
      <c r="CF126">
        <v>0.38</v>
      </c>
      <c r="CG126">
        <v>-1.6999999999999999E-3</v>
      </c>
      <c r="CH126">
        <v>-0.34</v>
      </c>
      <c r="CI126">
        <v>-0.55000000000000004</v>
      </c>
      <c r="CJ126">
        <v>-0.57999999999999996</v>
      </c>
      <c r="CK126">
        <v>-0.36</v>
      </c>
      <c r="CL126">
        <v>0.13</v>
      </c>
      <c r="CM126">
        <v>0.88</v>
      </c>
      <c r="CN126">
        <v>1.87</v>
      </c>
      <c r="CO126">
        <v>3.04</v>
      </c>
      <c r="CP126">
        <v>4.32</v>
      </c>
      <c r="CQ126">
        <v>5.65</v>
      </c>
      <c r="CR126">
        <v>6.94</v>
      </c>
      <c r="CS126">
        <v>8.1300000000000008</v>
      </c>
      <c r="CT126">
        <v>9.18</v>
      </c>
      <c r="CU126">
        <v>10</v>
      </c>
      <c r="CV126">
        <v>10.7</v>
      </c>
      <c r="CW126">
        <v>11.2</v>
      </c>
      <c r="CX126">
        <v>11.5</v>
      </c>
      <c r="CY126">
        <v>11.7</v>
      </c>
      <c r="CZ126">
        <v>11.8</v>
      </c>
      <c r="DA126">
        <v>11.7</v>
      </c>
      <c r="DB126">
        <v>11.5</v>
      </c>
    </row>
    <row r="127" spans="1:106" x14ac:dyDescent="0.25">
      <c r="A127" s="59"/>
      <c r="B127" s="59"/>
      <c r="C127" t="s">
        <v>63</v>
      </c>
      <c r="D127">
        <v>44</v>
      </c>
      <c r="E127" t="s">
        <v>2</v>
      </c>
      <c r="F127">
        <v>-8.2100000000000009</v>
      </c>
      <c r="G127">
        <v>-8</v>
      </c>
      <c r="H127">
        <v>-7.75</v>
      </c>
      <c r="I127">
        <v>-7.46</v>
      </c>
      <c r="J127">
        <v>-7.12</v>
      </c>
      <c r="K127">
        <v>-6.77</v>
      </c>
      <c r="L127">
        <v>-6.44</v>
      </c>
      <c r="M127">
        <v>-6.15</v>
      </c>
      <c r="N127">
        <v>-5.95</v>
      </c>
      <c r="O127">
        <v>-5.84</v>
      </c>
      <c r="P127">
        <v>-5.83</v>
      </c>
      <c r="Q127">
        <v>-5.9</v>
      </c>
      <c r="R127">
        <v>-6.03</v>
      </c>
      <c r="S127">
        <v>-6.2</v>
      </c>
      <c r="T127">
        <v>-6.37</v>
      </c>
      <c r="U127">
        <v>-6.53</v>
      </c>
      <c r="V127">
        <v>-6.67</v>
      </c>
      <c r="W127">
        <v>-6.8</v>
      </c>
      <c r="X127">
        <v>-6.91</v>
      </c>
      <c r="Y127">
        <v>-7</v>
      </c>
      <c r="Z127">
        <v>-7.09</v>
      </c>
      <c r="AA127">
        <v>-7.17</v>
      </c>
      <c r="AB127">
        <v>-7.26</v>
      </c>
      <c r="AC127">
        <v>-7.35</v>
      </c>
      <c r="AD127">
        <v>-7.44</v>
      </c>
      <c r="AE127">
        <v>-7.54</v>
      </c>
      <c r="AF127">
        <v>-7.65</v>
      </c>
      <c r="AG127">
        <v>-7.77</v>
      </c>
      <c r="AH127">
        <v>-7.91</v>
      </c>
      <c r="AI127">
        <v>-8.06</v>
      </c>
      <c r="AJ127">
        <v>-8.2200000000000006</v>
      </c>
      <c r="AK127">
        <v>-8.41</v>
      </c>
      <c r="AL127">
        <v>-8.61</v>
      </c>
      <c r="AM127">
        <v>-8.83</v>
      </c>
      <c r="AN127">
        <v>-9.07</v>
      </c>
      <c r="AO127">
        <v>-9.32</v>
      </c>
      <c r="AP127">
        <v>-9.57</v>
      </c>
      <c r="AQ127">
        <v>-9.83</v>
      </c>
      <c r="AR127">
        <v>-10.1</v>
      </c>
      <c r="AS127">
        <v>-10.3</v>
      </c>
      <c r="AT127">
        <v>-10.4</v>
      </c>
      <c r="AU127">
        <v>-10.5</v>
      </c>
      <c r="AV127">
        <v>-10.6</v>
      </c>
      <c r="AW127">
        <v>-10.5</v>
      </c>
      <c r="AX127">
        <v>-10.4</v>
      </c>
      <c r="AY127">
        <v>-10.199999999999999</v>
      </c>
      <c r="AZ127">
        <v>-9.86</v>
      </c>
      <c r="BA127">
        <v>-9.4700000000000006</v>
      </c>
      <c r="BB127">
        <v>-9.02</v>
      </c>
      <c r="BC127">
        <v>-8.49</v>
      </c>
      <c r="BD127">
        <v>-7.9</v>
      </c>
      <c r="BE127">
        <v>-7.26</v>
      </c>
      <c r="BF127">
        <v>-6.55</v>
      </c>
      <c r="BG127">
        <v>-5.8</v>
      </c>
      <c r="BH127">
        <v>-5.01</v>
      </c>
      <c r="BI127">
        <v>-4.22</v>
      </c>
      <c r="BJ127">
        <v>-3.46</v>
      </c>
      <c r="BK127">
        <v>-2.81</v>
      </c>
      <c r="BL127">
        <v>-2.33</v>
      </c>
      <c r="BM127">
        <v>-2.11</v>
      </c>
      <c r="BN127">
        <v>-2.2000000000000002</v>
      </c>
      <c r="BO127">
        <v>-2.64</v>
      </c>
      <c r="BP127">
        <v>-3.43</v>
      </c>
      <c r="BQ127">
        <v>-4.54</v>
      </c>
      <c r="BR127">
        <v>-5.9</v>
      </c>
      <c r="BS127">
        <v>-7.41</v>
      </c>
      <c r="BT127">
        <v>-8.99</v>
      </c>
      <c r="BU127">
        <v>-10.5</v>
      </c>
      <c r="BV127">
        <v>-11.9</v>
      </c>
      <c r="BW127">
        <v>-13.1</v>
      </c>
      <c r="BX127">
        <v>-14</v>
      </c>
      <c r="BY127">
        <v>-14.7</v>
      </c>
      <c r="BZ127">
        <v>-15.2</v>
      </c>
      <c r="CA127">
        <v>-15.6</v>
      </c>
      <c r="CB127">
        <v>-15.8</v>
      </c>
      <c r="CC127">
        <v>-16</v>
      </c>
      <c r="CD127">
        <v>-16.2</v>
      </c>
      <c r="CE127">
        <v>-16.3</v>
      </c>
      <c r="CF127">
        <v>-16.5</v>
      </c>
      <c r="CG127">
        <v>-16.7</v>
      </c>
      <c r="CH127">
        <v>-16.899999999999999</v>
      </c>
      <c r="CI127">
        <v>-17.100000000000001</v>
      </c>
      <c r="CJ127">
        <v>-17.2</v>
      </c>
      <c r="CK127">
        <v>-17.3</v>
      </c>
      <c r="CL127">
        <v>-17.2</v>
      </c>
      <c r="CM127">
        <v>-17</v>
      </c>
      <c r="CN127">
        <v>-16.600000000000001</v>
      </c>
      <c r="CO127">
        <v>-16.100000000000001</v>
      </c>
      <c r="CP127">
        <v>-15.5</v>
      </c>
      <c r="CQ127">
        <v>-14.8</v>
      </c>
      <c r="CR127">
        <v>-14</v>
      </c>
      <c r="CS127">
        <v>-13.1</v>
      </c>
      <c r="CT127">
        <v>-12.3</v>
      </c>
      <c r="CU127">
        <v>-11.5</v>
      </c>
      <c r="CV127">
        <v>-10.7</v>
      </c>
      <c r="CW127">
        <v>-10.1</v>
      </c>
      <c r="CX127">
        <v>-9.52</v>
      </c>
      <c r="CY127">
        <v>-9.07</v>
      </c>
      <c r="CZ127">
        <v>-8.7200000000000006</v>
      </c>
      <c r="DA127">
        <v>-8.44</v>
      </c>
      <c r="DB127">
        <v>-8.2200000000000006</v>
      </c>
    </row>
    <row r="128" spans="1:106" x14ac:dyDescent="0.25">
      <c r="A128" s="18"/>
      <c r="B128" s="18"/>
    </row>
    <row r="129" spans="1:106" x14ac:dyDescent="0.25">
      <c r="A129" s="59">
        <v>8</v>
      </c>
      <c r="B129" s="59" t="s">
        <v>75</v>
      </c>
      <c r="C129" t="s">
        <v>52</v>
      </c>
      <c r="D129">
        <v>44</v>
      </c>
      <c r="E129" t="s">
        <v>2</v>
      </c>
      <c r="F129">
        <v>8.0500000000000007</v>
      </c>
      <c r="G129">
        <v>7.97</v>
      </c>
      <c r="H129">
        <v>7.9</v>
      </c>
      <c r="I129">
        <v>7.84</v>
      </c>
      <c r="J129">
        <v>7.77</v>
      </c>
      <c r="K129">
        <v>7.7</v>
      </c>
      <c r="L129">
        <v>7.6</v>
      </c>
      <c r="M129">
        <v>7.49</v>
      </c>
      <c r="N129">
        <v>7.39</v>
      </c>
      <c r="O129">
        <v>7.3</v>
      </c>
      <c r="P129">
        <v>7.23</v>
      </c>
      <c r="Q129">
        <v>7.19</v>
      </c>
      <c r="R129">
        <v>7.17</v>
      </c>
      <c r="S129">
        <v>7.17</v>
      </c>
      <c r="T129">
        <v>7.19</v>
      </c>
      <c r="U129">
        <v>7.22</v>
      </c>
      <c r="V129">
        <v>7.26</v>
      </c>
      <c r="W129">
        <v>7.31</v>
      </c>
      <c r="X129">
        <v>7.37</v>
      </c>
      <c r="Y129">
        <v>7.43</v>
      </c>
      <c r="Z129">
        <v>7.48</v>
      </c>
      <c r="AA129">
        <v>7.53</v>
      </c>
      <c r="AB129">
        <v>7.57</v>
      </c>
      <c r="AC129">
        <v>7.61</v>
      </c>
      <c r="AD129">
        <v>7.64</v>
      </c>
      <c r="AE129">
        <v>7.68</v>
      </c>
      <c r="AF129">
        <v>7.71</v>
      </c>
      <c r="AG129">
        <v>7.73</v>
      </c>
      <c r="AH129">
        <v>7.75</v>
      </c>
      <c r="AI129">
        <v>7.77</v>
      </c>
      <c r="AJ129">
        <v>7.8</v>
      </c>
      <c r="AK129">
        <v>7.84</v>
      </c>
      <c r="AL129">
        <v>7.87</v>
      </c>
      <c r="AM129">
        <v>7.92</v>
      </c>
      <c r="AN129">
        <v>7.96</v>
      </c>
      <c r="AO129">
        <v>8</v>
      </c>
      <c r="AP129">
        <v>8.0500000000000007</v>
      </c>
      <c r="AQ129">
        <v>8.09</v>
      </c>
      <c r="AR129">
        <v>8.1300000000000008</v>
      </c>
      <c r="AS129">
        <v>8.17</v>
      </c>
      <c r="AT129">
        <v>8.1999999999999993</v>
      </c>
      <c r="AU129">
        <v>8.23</v>
      </c>
      <c r="AV129">
        <v>8.26</v>
      </c>
      <c r="AW129">
        <v>8.2799999999999994</v>
      </c>
      <c r="AX129">
        <v>8.2899999999999991</v>
      </c>
      <c r="AY129">
        <v>8.3000000000000007</v>
      </c>
      <c r="AZ129">
        <v>8.2899999999999991</v>
      </c>
      <c r="BA129">
        <v>8.26</v>
      </c>
      <c r="BB129">
        <v>8.1999999999999993</v>
      </c>
      <c r="BC129">
        <v>8.1300000000000008</v>
      </c>
      <c r="BD129">
        <v>8.0399999999999991</v>
      </c>
      <c r="BE129">
        <v>7.94</v>
      </c>
      <c r="BF129">
        <v>7.86</v>
      </c>
      <c r="BG129">
        <v>7.8</v>
      </c>
      <c r="BH129">
        <v>7.73</v>
      </c>
      <c r="BI129">
        <v>7.65</v>
      </c>
      <c r="BJ129">
        <v>7.56</v>
      </c>
      <c r="BK129">
        <v>7.46</v>
      </c>
      <c r="BL129">
        <v>7.36</v>
      </c>
      <c r="BM129">
        <v>7.27</v>
      </c>
      <c r="BN129">
        <v>7.19</v>
      </c>
      <c r="BO129">
        <v>7.13</v>
      </c>
      <c r="BP129">
        <v>7.08</v>
      </c>
      <c r="BQ129">
        <v>7.06</v>
      </c>
      <c r="BR129">
        <v>7.05</v>
      </c>
      <c r="BS129">
        <v>7.07</v>
      </c>
      <c r="BT129">
        <v>7.1</v>
      </c>
      <c r="BU129">
        <v>7.14</v>
      </c>
      <c r="BV129">
        <v>7.19</v>
      </c>
      <c r="BW129">
        <v>7.24</v>
      </c>
      <c r="BX129">
        <v>7.29</v>
      </c>
      <c r="BY129">
        <v>7.33</v>
      </c>
      <c r="BZ129">
        <v>7.37</v>
      </c>
      <c r="CA129">
        <v>7.4</v>
      </c>
      <c r="CB129">
        <v>7.43</v>
      </c>
      <c r="CC129">
        <v>7.46</v>
      </c>
      <c r="CD129">
        <v>7.48</v>
      </c>
      <c r="CE129">
        <v>7.51</v>
      </c>
      <c r="CF129">
        <v>7.54</v>
      </c>
      <c r="CG129">
        <v>7.58</v>
      </c>
      <c r="CH129">
        <v>7.62</v>
      </c>
      <c r="CI129">
        <v>7.67</v>
      </c>
      <c r="CJ129">
        <v>7.72</v>
      </c>
      <c r="CK129">
        <v>7.78</v>
      </c>
      <c r="CL129">
        <v>7.83</v>
      </c>
      <c r="CM129">
        <v>7.89</v>
      </c>
      <c r="CN129">
        <v>7.95</v>
      </c>
      <c r="CO129">
        <v>8.01</v>
      </c>
      <c r="CP129">
        <v>8.06</v>
      </c>
      <c r="CQ129">
        <v>8.11</v>
      </c>
      <c r="CR129">
        <v>8.14</v>
      </c>
      <c r="CS129">
        <v>8.17</v>
      </c>
      <c r="CT129">
        <v>8.19</v>
      </c>
      <c r="CU129">
        <v>8.2100000000000009</v>
      </c>
      <c r="CV129">
        <v>8.2200000000000006</v>
      </c>
      <c r="CW129">
        <v>8.2200000000000006</v>
      </c>
      <c r="CX129">
        <v>8.1999999999999993</v>
      </c>
      <c r="CY129">
        <v>8.16</v>
      </c>
      <c r="CZ129">
        <v>8.1</v>
      </c>
      <c r="DA129">
        <v>8.0299999999999994</v>
      </c>
      <c r="DB129">
        <v>7.96</v>
      </c>
    </row>
    <row r="130" spans="1:106" x14ac:dyDescent="0.25">
      <c r="A130" s="59"/>
      <c r="B130" s="59"/>
      <c r="C130" t="s">
        <v>53</v>
      </c>
      <c r="D130">
        <v>44</v>
      </c>
      <c r="E130" t="s">
        <v>2</v>
      </c>
      <c r="F130">
        <v>32.200000000000003</v>
      </c>
      <c r="G130">
        <v>32.200000000000003</v>
      </c>
      <c r="H130">
        <v>32.1</v>
      </c>
      <c r="I130">
        <v>32.1</v>
      </c>
      <c r="J130">
        <v>32.1</v>
      </c>
      <c r="K130">
        <v>31.9</v>
      </c>
      <c r="L130">
        <v>31.6</v>
      </c>
      <c r="M130">
        <v>31.2</v>
      </c>
      <c r="N130">
        <v>30.6</v>
      </c>
      <c r="O130">
        <v>30</v>
      </c>
      <c r="P130">
        <v>29.2</v>
      </c>
      <c r="Q130">
        <v>28.4</v>
      </c>
      <c r="R130">
        <v>27.5</v>
      </c>
      <c r="S130">
        <v>26.6</v>
      </c>
      <c r="T130">
        <v>25.5</v>
      </c>
      <c r="U130">
        <v>24.4</v>
      </c>
      <c r="V130">
        <v>23.2</v>
      </c>
      <c r="W130">
        <v>21.9</v>
      </c>
      <c r="X130">
        <v>20.6</v>
      </c>
      <c r="Y130">
        <v>19.3</v>
      </c>
      <c r="Z130">
        <v>17.899999999999999</v>
      </c>
      <c r="AA130">
        <v>16.5</v>
      </c>
      <c r="AB130">
        <v>15.1</v>
      </c>
      <c r="AC130">
        <v>13.7</v>
      </c>
      <c r="AD130">
        <v>12.4</v>
      </c>
      <c r="AE130">
        <v>11</v>
      </c>
      <c r="AF130">
        <v>9.65</v>
      </c>
      <c r="AG130">
        <v>8.3000000000000007</v>
      </c>
      <c r="AH130">
        <v>6.96</v>
      </c>
      <c r="AI130">
        <v>5.65</v>
      </c>
      <c r="AJ130">
        <v>4.37</v>
      </c>
      <c r="AK130">
        <v>3.13</v>
      </c>
      <c r="AL130">
        <v>1.92</v>
      </c>
      <c r="AM130">
        <v>0.76</v>
      </c>
      <c r="AN130">
        <v>-0.37</v>
      </c>
      <c r="AO130">
        <v>-1.46</v>
      </c>
      <c r="AP130">
        <v>-2.5099999999999998</v>
      </c>
      <c r="AQ130">
        <v>-3.52</v>
      </c>
      <c r="AR130">
        <v>-4.4800000000000004</v>
      </c>
      <c r="AS130">
        <v>-5.41</v>
      </c>
      <c r="AT130">
        <v>-6.3</v>
      </c>
      <c r="AU130">
        <v>-7.15</v>
      </c>
      <c r="AV130">
        <v>-7.96</v>
      </c>
      <c r="AW130">
        <v>-8.7200000000000006</v>
      </c>
      <c r="AX130">
        <v>-9.43</v>
      </c>
      <c r="AY130">
        <v>-10.1</v>
      </c>
      <c r="AZ130">
        <v>-10.7</v>
      </c>
      <c r="BA130">
        <v>-11.2</v>
      </c>
      <c r="BB130">
        <v>-11.6</v>
      </c>
      <c r="BC130">
        <v>-12</v>
      </c>
      <c r="BD130">
        <v>-12.2</v>
      </c>
      <c r="BE130">
        <v>-12.2</v>
      </c>
      <c r="BF130">
        <v>-12.1</v>
      </c>
      <c r="BG130">
        <v>-11.7</v>
      </c>
      <c r="BH130">
        <v>-11.2</v>
      </c>
      <c r="BI130">
        <v>-10.4</v>
      </c>
      <c r="BJ130">
        <v>-9.51</v>
      </c>
      <c r="BK130">
        <v>-8.39</v>
      </c>
      <c r="BL130">
        <v>-7.11</v>
      </c>
      <c r="BM130">
        <v>-5.66</v>
      </c>
      <c r="BN130">
        <v>-4.05</v>
      </c>
      <c r="BO130">
        <v>-2.2799999999999998</v>
      </c>
      <c r="BP130">
        <v>-0.37</v>
      </c>
      <c r="BQ130">
        <v>1.64</v>
      </c>
      <c r="BR130">
        <v>3.73</v>
      </c>
      <c r="BS130">
        <v>5.87</v>
      </c>
      <c r="BT130">
        <v>8.01</v>
      </c>
      <c r="BU130">
        <v>10.1</v>
      </c>
      <c r="BV130">
        <v>12.2</v>
      </c>
      <c r="BW130">
        <v>14.1</v>
      </c>
      <c r="BX130">
        <v>16</v>
      </c>
      <c r="BY130">
        <v>17.8</v>
      </c>
      <c r="BZ130">
        <v>19.399999999999999</v>
      </c>
      <c r="CA130">
        <v>20.9</v>
      </c>
      <c r="CB130">
        <v>22.3</v>
      </c>
      <c r="CC130">
        <v>23.5</v>
      </c>
      <c r="CD130">
        <v>24.7</v>
      </c>
      <c r="CE130">
        <v>25.7</v>
      </c>
      <c r="CF130">
        <v>26.6</v>
      </c>
      <c r="CG130">
        <v>27.4</v>
      </c>
      <c r="CH130">
        <v>28.1</v>
      </c>
      <c r="CI130">
        <v>28.7</v>
      </c>
      <c r="CJ130">
        <v>29.2</v>
      </c>
      <c r="CK130">
        <v>29.6</v>
      </c>
      <c r="CL130">
        <v>29.9</v>
      </c>
      <c r="CM130">
        <v>30.1</v>
      </c>
      <c r="CN130">
        <v>30.3</v>
      </c>
      <c r="CO130">
        <v>30.5</v>
      </c>
      <c r="CP130">
        <v>30.7</v>
      </c>
      <c r="CQ130">
        <v>30.8</v>
      </c>
      <c r="CR130">
        <v>31</v>
      </c>
      <c r="CS130">
        <v>31.2</v>
      </c>
      <c r="CT130">
        <v>31.5</v>
      </c>
      <c r="CU130">
        <v>31.6</v>
      </c>
      <c r="CV130">
        <v>31.8</v>
      </c>
      <c r="CW130">
        <v>32</v>
      </c>
      <c r="CX130">
        <v>32</v>
      </c>
      <c r="CY130">
        <v>32.1</v>
      </c>
      <c r="CZ130">
        <v>32.1</v>
      </c>
      <c r="DA130">
        <v>32.1</v>
      </c>
      <c r="DB130">
        <v>32.200000000000003</v>
      </c>
    </row>
    <row r="131" spans="1:106" x14ac:dyDescent="0.25">
      <c r="A131" s="59"/>
      <c r="B131" s="59"/>
      <c r="C131" t="s">
        <v>54</v>
      </c>
      <c r="D131">
        <v>44</v>
      </c>
      <c r="E131" t="s">
        <v>2</v>
      </c>
      <c r="F131">
        <v>6.97</v>
      </c>
      <c r="G131">
        <v>8.42</v>
      </c>
      <c r="H131">
        <v>10.1</v>
      </c>
      <c r="I131">
        <v>11.9</v>
      </c>
      <c r="J131">
        <v>13.7</v>
      </c>
      <c r="K131">
        <v>15.4</v>
      </c>
      <c r="L131">
        <v>16.899999999999999</v>
      </c>
      <c r="M131">
        <v>18.2</v>
      </c>
      <c r="N131">
        <v>19.2</v>
      </c>
      <c r="O131">
        <v>20.100000000000001</v>
      </c>
      <c r="P131">
        <v>20.7</v>
      </c>
      <c r="Q131">
        <v>21.2</v>
      </c>
      <c r="R131">
        <v>21.4</v>
      </c>
      <c r="S131">
        <v>21.3</v>
      </c>
      <c r="T131">
        <v>21.1</v>
      </c>
      <c r="U131">
        <v>20.7</v>
      </c>
      <c r="V131">
        <v>20.100000000000001</v>
      </c>
      <c r="W131">
        <v>19.399999999999999</v>
      </c>
      <c r="X131">
        <v>18.600000000000001</v>
      </c>
      <c r="Y131">
        <v>17.7</v>
      </c>
      <c r="Z131">
        <v>16.7</v>
      </c>
      <c r="AA131">
        <v>15.8</v>
      </c>
      <c r="AB131">
        <v>14.8</v>
      </c>
      <c r="AC131">
        <v>13.8</v>
      </c>
      <c r="AD131">
        <v>12.8</v>
      </c>
      <c r="AE131">
        <v>11.8</v>
      </c>
      <c r="AF131">
        <v>10.8</v>
      </c>
      <c r="AG131">
        <v>9.85</v>
      </c>
      <c r="AH131">
        <v>8.91</v>
      </c>
      <c r="AI131">
        <v>8</v>
      </c>
      <c r="AJ131">
        <v>7.13</v>
      </c>
      <c r="AK131">
        <v>6.32</v>
      </c>
      <c r="AL131">
        <v>5.57</v>
      </c>
      <c r="AM131">
        <v>4.9000000000000004</v>
      </c>
      <c r="AN131">
        <v>4.3</v>
      </c>
      <c r="AO131">
        <v>3.79</v>
      </c>
      <c r="AP131">
        <v>3.38</v>
      </c>
      <c r="AQ131">
        <v>3.06</v>
      </c>
      <c r="AR131">
        <v>2.85</v>
      </c>
      <c r="AS131">
        <v>2.73</v>
      </c>
      <c r="AT131">
        <v>2.72</v>
      </c>
      <c r="AU131">
        <v>2.82</v>
      </c>
      <c r="AV131">
        <v>3.03</v>
      </c>
      <c r="AW131">
        <v>3.36</v>
      </c>
      <c r="AX131">
        <v>3.83</v>
      </c>
      <c r="AY131">
        <v>4.4400000000000004</v>
      </c>
      <c r="AZ131">
        <v>5.21</v>
      </c>
      <c r="BA131">
        <v>6.16</v>
      </c>
      <c r="BB131">
        <v>7.29</v>
      </c>
      <c r="BC131">
        <v>8.6199999999999992</v>
      </c>
      <c r="BD131">
        <v>10.199999999999999</v>
      </c>
      <c r="BE131">
        <v>11.9</v>
      </c>
      <c r="BF131">
        <v>14</v>
      </c>
      <c r="BG131">
        <v>16.2</v>
      </c>
      <c r="BH131">
        <v>18.7</v>
      </c>
      <c r="BI131">
        <v>21.4</v>
      </c>
      <c r="BJ131">
        <v>24.3</v>
      </c>
      <c r="BK131">
        <v>27.4</v>
      </c>
      <c r="BL131">
        <v>30.6</v>
      </c>
      <c r="BM131">
        <v>33.9</v>
      </c>
      <c r="BN131">
        <v>37.299999999999997</v>
      </c>
      <c r="BO131">
        <v>40.799999999999997</v>
      </c>
      <c r="BP131">
        <v>44.2</v>
      </c>
      <c r="BQ131">
        <v>47.5</v>
      </c>
      <c r="BR131">
        <v>50.5</v>
      </c>
      <c r="BS131">
        <v>53.3</v>
      </c>
      <c r="BT131">
        <v>55.6</v>
      </c>
      <c r="BU131">
        <v>57.6</v>
      </c>
      <c r="BV131">
        <v>59</v>
      </c>
      <c r="BW131">
        <v>60</v>
      </c>
      <c r="BX131">
        <v>60.6</v>
      </c>
      <c r="BY131">
        <v>60.7</v>
      </c>
      <c r="BZ131">
        <v>60.4</v>
      </c>
      <c r="CA131">
        <v>59.7</v>
      </c>
      <c r="CB131">
        <v>58.7</v>
      </c>
      <c r="CC131">
        <v>57.4</v>
      </c>
      <c r="CD131">
        <v>55.7</v>
      </c>
      <c r="CE131">
        <v>53.7</v>
      </c>
      <c r="CF131">
        <v>51.4</v>
      </c>
      <c r="CG131">
        <v>48.8</v>
      </c>
      <c r="CH131">
        <v>45.9</v>
      </c>
      <c r="CI131">
        <v>42.8</v>
      </c>
      <c r="CJ131">
        <v>39.4</v>
      </c>
      <c r="CK131">
        <v>35.799999999999997</v>
      </c>
      <c r="CL131">
        <v>32.200000000000003</v>
      </c>
      <c r="CM131">
        <v>28.4</v>
      </c>
      <c r="CN131">
        <v>24.7</v>
      </c>
      <c r="CO131">
        <v>21.1</v>
      </c>
      <c r="CP131">
        <v>17.7</v>
      </c>
      <c r="CQ131">
        <v>14.6</v>
      </c>
      <c r="CR131">
        <v>11.8</v>
      </c>
      <c r="CS131">
        <v>9.41</v>
      </c>
      <c r="CT131">
        <v>7.45</v>
      </c>
      <c r="CU131">
        <v>5.94</v>
      </c>
      <c r="CV131">
        <v>4.88</v>
      </c>
      <c r="CW131">
        <v>4.2699999999999996</v>
      </c>
      <c r="CX131">
        <v>4.08</v>
      </c>
      <c r="CY131">
        <v>4.3</v>
      </c>
      <c r="CZ131">
        <v>4.8899999999999997</v>
      </c>
      <c r="DA131">
        <v>5.82</v>
      </c>
      <c r="DB131">
        <v>7.06</v>
      </c>
    </row>
    <row r="132" spans="1:106" x14ac:dyDescent="0.25">
      <c r="A132" s="59"/>
      <c r="B132" s="59"/>
      <c r="C132" t="s">
        <v>55</v>
      </c>
      <c r="D132">
        <v>44</v>
      </c>
      <c r="E132" t="s">
        <v>2</v>
      </c>
      <c r="F132">
        <v>-0.91</v>
      </c>
      <c r="G132">
        <v>-2.19</v>
      </c>
      <c r="H132">
        <v>-3.36</v>
      </c>
      <c r="I132">
        <v>-4.18</v>
      </c>
      <c r="J132">
        <v>-4.5599999999999996</v>
      </c>
      <c r="K132">
        <v>-4.4800000000000004</v>
      </c>
      <c r="L132">
        <v>-4</v>
      </c>
      <c r="M132">
        <v>-3.2</v>
      </c>
      <c r="N132">
        <v>-2.17</v>
      </c>
      <c r="O132">
        <v>-1.02</v>
      </c>
      <c r="P132">
        <v>0.17</v>
      </c>
      <c r="Q132">
        <v>1.32</v>
      </c>
      <c r="R132">
        <v>2.39</v>
      </c>
      <c r="S132">
        <v>3.34</v>
      </c>
      <c r="T132">
        <v>4.17</v>
      </c>
      <c r="U132">
        <v>4.9000000000000004</v>
      </c>
      <c r="V132">
        <v>5.53</v>
      </c>
      <c r="W132">
        <v>6.08</v>
      </c>
      <c r="X132">
        <v>6.56</v>
      </c>
      <c r="Y132">
        <v>6.99</v>
      </c>
      <c r="Z132">
        <v>7.37</v>
      </c>
      <c r="AA132">
        <v>7.72</v>
      </c>
      <c r="AB132">
        <v>8.0399999999999991</v>
      </c>
      <c r="AC132">
        <v>8.33</v>
      </c>
      <c r="AD132">
        <v>8.6</v>
      </c>
      <c r="AE132">
        <v>8.86</v>
      </c>
      <c r="AF132">
        <v>9.1</v>
      </c>
      <c r="AG132">
        <v>9.33</v>
      </c>
      <c r="AH132">
        <v>9.5500000000000007</v>
      </c>
      <c r="AI132">
        <v>9.7799999999999994</v>
      </c>
      <c r="AJ132">
        <v>10</v>
      </c>
      <c r="AK132">
        <v>10.3</v>
      </c>
      <c r="AL132">
        <v>10.5</v>
      </c>
      <c r="AM132">
        <v>10.8</v>
      </c>
      <c r="AN132">
        <v>11.1</v>
      </c>
      <c r="AO132">
        <v>11.4</v>
      </c>
      <c r="AP132">
        <v>11.7</v>
      </c>
      <c r="AQ132">
        <v>12</v>
      </c>
      <c r="AR132">
        <v>12.4</v>
      </c>
      <c r="AS132">
        <v>12.7</v>
      </c>
      <c r="AT132">
        <v>12.9</v>
      </c>
      <c r="AU132">
        <v>13.2</v>
      </c>
      <c r="AV132">
        <v>13.4</v>
      </c>
      <c r="AW132">
        <v>13.6</v>
      </c>
      <c r="AX132">
        <v>13.7</v>
      </c>
      <c r="AY132">
        <v>13.7</v>
      </c>
      <c r="AZ132">
        <v>13.7</v>
      </c>
      <c r="BA132">
        <v>13.5</v>
      </c>
      <c r="BB132">
        <v>13.1</v>
      </c>
      <c r="BC132">
        <v>12.5</v>
      </c>
      <c r="BD132">
        <v>11.6</v>
      </c>
      <c r="BE132">
        <v>10.199999999999999</v>
      </c>
      <c r="BF132">
        <v>8.4499999999999993</v>
      </c>
      <c r="BG132">
        <v>6.18</v>
      </c>
      <c r="BH132">
        <v>3.4</v>
      </c>
      <c r="BI132">
        <v>0.19</v>
      </c>
      <c r="BJ132">
        <v>-3.31</v>
      </c>
      <c r="BK132">
        <v>-6.89</v>
      </c>
      <c r="BL132">
        <v>-10.3</v>
      </c>
      <c r="BM132">
        <v>-13.3</v>
      </c>
      <c r="BN132">
        <v>-15.7</v>
      </c>
      <c r="BO132">
        <v>-17.3</v>
      </c>
      <c r="BP132">
        <v>-18</v>
      </c>
      <c r="BQ132">
        <v>-18</v>
      </c>
      <c r="BR132">
        <v>-17.2</v>
      </c>
      <c r="BS132">
        <v>-16</v>
      </c>
      <c r="BT132">
        <v>-14.3</v>
      </c>
      <c r="BU132">
        <v>-12.6</v>
      </c>
      <c r="BV132">
        <v>-10.7</v>
      </c>
      <c r="BW132">
        <v>-8.94</v>
      </c>
      <c r="BX132">
        <v>-7.27</v>
      </c>
      <c r="BY132">
        <v>-5.73</v>
      </c>
      <c r="BZ132">
        <v>-4.3099999999999996</v>
      </c>
      <c r="CA132">
        <v>-3.02</v>
      </c>
      <c r="CB132">
        <v>-1.82</v>
      </c>
      <c r="CC132">
        <v>-0.72</v>
      </c>
      <c r="CD132">
        <v>0.28000000000000003</v>
      </c>
      <c r="CE132">
        <v>1.18</v>
      </c>
      <c r="CF132">
        <v>1.96</v>
      </c>
      <c r="CG132">
        <v>2.6</v>
      </c>
      <c r="CH132">
        <v>3.09</v>
      </c>
      <c r="CI132">
        <v>3.41</v>
      </c>
      <c r="CJ132">
        <v>3.56</v>
      </c>
      <c r="CK132">
        <v>3.53</v>
      </c>
      <c r="CL132">
        <v>3.34</v>
      </c>
      <c r="CM132">
        <v>3.01</v>
      </c>
      <c r="CN132">
        <v>2.6</v>
      </c>
      <c r="CO132">
        <v>2.16</v>
      </c>
      <c r="CP132">
        <v>1.77</v>
      </c>
      <c r="CQ132">
        <v>1.49</v>
      </c>
      <c r="CR132">
        <v>1.35</v>
      </c>
      <c r="CS132">
        <v>1.36</v>
      </c>
      <c r="CT132">
        <v>1.5</v>
      </c>
      <c r="CU132">
        <v>1.7</v>
      </c>
      <c r="CV132">
        <v>1.88</v>
      </c>
      <c r="CW132">
        <v>1.94</v>
      </c>
      <c r="CX132">
        <v>1.79</v>
      </c>
      <c r="CY132">
        <v>1.38</v>
      </c>
      <c r="CZ132">
        <v>0.68</v>
      </c>
      <c r="DA132">
        <v>-0.27</v>
      </c>
      <c r="DB132">
        <v>-1.35</v>
      </c>
    </row>
    <row r="133" spans="1:106" x14ac:dyDescent="0.25">
      <c r="A133" s="59"/>
      <c r="B133" s="59"/>
      <c r="C133" t="s">
        <v>56</v>
      </c>
      <c r="D133">
        <v>44</v>
      </c>
      <c r="E133" t="s">
        <v>2</v>
      </c>
      <c r="F133">
        <v>0.8</v>
      </c>
      <c r="G133">
        <v>1.02</v>
      </c>
      <c r="H133">
        <v>1.27</v>
      </c>
      <c r="I133">
        <v>1.54</v>
      </c>
      <c r="J133">
        <v>1.83</v>
      </c>
      <c r="K133">
        <v>2.14</v>
      </c>
      <c r="L133">
        <v>2.46</v>
      </c>
      <c r="M133">
        <v>2.78</v>
      </c>
      <c r="N133">
        <v>3.09</v>
      </c>
      <c r="O133">
        <v>3.36</v>
      </c>
      <c r="P133">
        <v>3.59</v>
      </c>
      <c r="Q133">
        <v>3.78</v>
      </c>
      <c r="R133">
        <v>3.9</v>
      </c>
      <c r="S133">
        <v>3.96</v>
      </c>
      <c r="T133">
        <v>3.95</v>
      </c>
      <c r="U133">
        <v>3.87</v>
      </c>
      <c r="V133">
        <v>3.74</v>
      </c>
      <c r="W133">
        <v>3.55</v>
      </c>
      <c r="X133">
        <v>3.32</v>
      </c>
      <c r="Y133">
        <v>3.05</v>
      </c>
      <c r="Z133">
        <v>2.76</v>
      </c>
      <c r="AA133">
        <v>2.44</v>
      </c>
      <c r="AB133">
        <v>2.12</v>
      </c>
      <c r="AC133">
        <v>1.79</v>
      </c>
      <c r="AD133">
        <v>1.47</v>
      </c>
      <c r="AE133">
        <v>1.1499999999999999</v>
      </c>
      <c r="AF133">
        <v>0.85</v>
      </c>
      <c r="AG133">
        <v>0.56999999999999995</v>
      </c>
      <c r="AH133">
        <v>0.31</v>
      </c>
      <c r="AI133">
        <v>6.9000000000000006E-2</v>
      </c>
      <c r="AJ133">
        <v>-0.14000000000000001</v>
      </c>
      <c r="AK133">
        <v>-0.33</v>
      </c>
      <c r="AL133">
        <v>-0.48</v>
      </c>
      <c r="AM133">
        <v>-0.6</v>
      </c>
      <c r="AN133">
        <v>-0.69</v>
      </c>
      <c r="AO133">
        <v>-0.75</v>
      </c>
      <c r="AP133">
        <v>-0.78</v>
      </c>
      <c r="AQ133">
        <v>-0.79</v>
      </c>
      <c r="AR133">
        <v>-0.77</v>
      </c>
      <c r="AS133">
        <v>-0.74</v>
      </c>
      <c r="AT133">
        <v>-0.69</v>
      </c>
      <c r="AU133">
        <v>-0.63</v>
      </c>
      <c r="AV133">
        <v>-0.56999999999999995</v>
      </c>
      <c r="AW133">
        <v>-0.52</v>
      </c>
      <c r="AX133">
        <v>-0.48</v>
      </c>
      <c r="AY133">
        <v>-0.46</v>
      </c>
      <c r="AZ133">
        <v>-0.47</v>
      </c>
      <c r="BA133">
        <v>-0.52</v>
      </c>
      <c r="BB133">
        <v>-0.61</v>
      </c>
      <c r="BC133">
        <v>-0.75</v>
      </c>
      <c r="BD133">
        <v>-0.93</v>
      </c>
      <c r="BE133">
        <v>-1.1499999999999999</v>
      </c>
      <c r="BF133">
        <v>-1.4</v>
      </c>
      <c r="BG133">
        <v>-1.68</v>
      </c>
      <c r="BH133">
        <v>-2</v>
      </c>
      <c r="BI133">
        <v>-2.33</v>
      </c>
      <c r="BJ133">
        <v>-2.68</v>
      </c>
      <c r="BK133">
        <v>-3.01</v>
      </c>
      <c r="BL133">
        <v>-3.31</v>
      </c>
      <c r="BM133">
        <v>-3.56</v>
      </c>
      <c r="BN133">
        <v>-3.76</v>
      </c>
      <c r="BO133">
        <v>-3.9</v>
      </c>
      <c r="BP133">
        <v>-3.98</v>
      </c>
      <c r="BQ133">
        <v>-4</v>
      </c>
      <c r="BR133">
        <v>-3.96</v>
      </c>
      <c r="BS133">
        <v>-3.87</v>
      </c>
      <c r="BT133">
        <v>-3.73</v>
      </c>
      <c r="BU133">
        <v>-3.55</v>
      </c>
      <c r="BV133">
        <v>-3.33</v>
      </c>
      <c r="BW133">
        <v>-3.08</v>
      </c>
      <c r="BX133">
        <v>-2.8</v>
      </c>
      <c r="BY133">
        <v>-2.5</v>
      </c>
      <c r="BZ133">
        <v>-2.19</v>
      </c>
      <c r="CA133">
        <v>-1.87</v>
      </c>
      <c r="CB133">
        <v>-1.56</v>
      </c>
      <c r="CC133">
        <v>-1.25</v>
      </c>
      <c r="CD133">
        <v>-0.95</v>
      </c>
      <c r="CE133">
        <v>-0.67</v>
      </c>
      <c r="CF133">
        <v>-0.4</v>
      </c>
      <c r="CG133">
        <v>-0.15</v>
      </c>
      <c r="CH133">
        <v>7.3999999999999996E-2</v>
      </c>
      <c r="CI133">
        <v>0.27</v>
      </c>
      <c r="CJ133">
        <v>0.43</v>
      </c>
      <c r="CK133">
        <v>0.55000000000000004</v>
      </c>
      <c r="CL133">
        <v>0.64</v>
      </c>
      <c r="CM133">
        <v>0.7</v>
      </c>
      <c r="CN133">
        <v>0.74</v>
      </c>
      <c r="CO133">
        <v>0.74</v>
      </c>
      <c r="CP133">
        <v>0.73</v>
      </c>
      <c r="CQ133">
        <v>0.69</v>
      </c>
      <c r="CR133">
        <v>0.64</v>
      </c>
      <c r="CS133">
        <v>0.57999999999999996</v>
      </c>
      <c r="CT133">
        <v>0.52</v>
      </c>
      <c r="CU133">
        <v>0.46</v>
      </c>
      <c r="CV133">
        <v>0.42</v>
      </c>
      <c r="CW133">
        <v>0.39</v>
      </c>
      <c r="CX133">
        <v>0.4</v>
      </c>
      <c r="CY133">
        <v>0.44</v>
      </c>
      <c r="CZ133">
        <v>0.54</v>
      </c>
      <c r="DA133">
        <v>0.69</v>
      </c>
      <c r="DB133">
        <v>0.88</v>
      </c>
    </row>
    <row r="134" spans="1:106" x14ac:dyDescent="0.25">
      <c r="A134" s="59"/>
      <c r="B134" s="59"/>
      <c r="C134" t="s">
        <v>57</v>
      </c>
      <c r="D134">
        <v>44</v>
      </c>
      <c r="E134" t="s">
        <v>2</v>
      </c>
      <c r="F134">
        <v>-2.4700000000000002</v>
      </c>
      <c r="G134">
        <v>-2.0499999999999998</v>
      </c>
      <c r="H134">
        <v>-1.57</v>
      </c>
      <c r="I134">
        <v>-1.06</v>
      </c>
      <c r="J134">
        <v>-0.53</v>
      </c>
      <c r="K134">
        <v>3.2000000000000001E-2</v>
      </c>
      <c r="L134">
        <v>0.6</v>
      </c>
      <c r="M134">
        <v>1.1599999999999999</v>
      </c>
      <c r="N134">
        <v>1.7</v>
      </c>
      <c r="O134">
        <v>2.19</v>
      </c>
      <c r="P134">
        <v>2.63</v>
      </c>
      <c r="Q134">
        <v>2.99</v>
      </c>
      <c r="R134">
        <v>3.27</v>
      </c>
      <c r="S134">
        <v>3.47</v>
      </c>
      <c r="T134">
        <v>3.59</v>
      </c>
      <c r="U134">
        <v>3.64</v>
      </c>
      <c r="V134">
        <v>3.62</v>
      </c>
      <c r="W134">
        <v>3.56</v>
      </c>
      <c r="X134">
        <v>3.46</v>
      </c>
      <c r="Y134">
        <v>3.33</v>
      </c>
      <c r="Z134">
        <v>3.17</v>
      </c>
      <c r="AA134">
        <v>3</v>
      </c>
      <c r="AB134">
        <v>2.81</v>
      </c>
      <c r="AC134">
        <v>2.62</v>
      </c>
      <c r="AD134">
        <v>2.42</v>
      </c>
      <c r="AE134">
        <v>2.2200000000000002</v>
      </c>
      <c r="AF134">
        <v>2.02</v>
      </c>
      <c r="AG134">
        <v>1.82</v>
      </c>
      <c r="AH134">
        <v>1.63</v>
      </c>
      <c r="AI134">
        <v>1.45</v>
      </c>
      <c r="AJ134">
        <v>1.28</v>
      </c>
      <c r="AK134">
        <v>1.1200000000000001</v>
      </c>
      <c r="AL134">
        <v>0.97</v>
      </c>
      <c r="AM134">
        <v>0.84</v>
      </c>
      <c r="AN134">
        <v>0.72</v>
      </c>
      <c r="AO134">
        <v>0.62</v>
      </c>
      <c r="AP134">
        <v>0.54</v>
      </c>
      <c r="AQ134">
        <v>0.48</v>
      </c>
      <c r="AR134">
        <v>0.42</v>
      </c>
      <c r="AS134">
        <v>0.37</v>
      </c>
      <c r="AT134">
        <v>0.32</v>
      </c>
      <c r="AU134">
        <v>0.28000000000000003</v>
      </c>
      <c r="AV134">
        <v>0.23</v>
      </c>
      <c r="AW134">
        <v>0.16</v>
      </c>
      <c r="AX134">
        <v>8.1000000000000003E-2</v>
      </c>
      <c r="AY134">
        <v>-0.03</v>
      </c>
      <c r="AZ134">
        <v>-0.18</v>
      </c>
      <c r="BA134">
        <v>-0.39</v>
      </c>
      <c r="BB134">
        <v>-0.66</v>
      </c>
      <c r="BC134">
        <v>-1</v>
      </c>
      <c r="BD134">
        <v>-1.39</v>
      </c>
      <c r="BE134">
        <v>-1.84</v>
      </c>
      <c r="BF134">
        <v>-2.33</v>
      </c>
      <c r="BG134">
        <v>-2.87</v>
      </c>
      <c r="BH134">
        <v>-3.46</v>
      </c>
      <c r="BI134">
        <v>-4.0999999999999996</v>
      </c>
      <c r="BJ134">
        <v>-4.76</v>
      </c>
      <c r="BK134">
        <v>-5.41</v>
      </c>
      <c r="BL134">
        <v>-6.03</v>
      </c>
      <c r="BM134">
        <v>-6.59</v>
      </c>
      <c r="BN134">
        <v>-7.06</v>
      </c>
      <c r="BO134">
        <v>-7.44</v>
      </c>
      <c r="BP134">
        <v>-7.7</v>
      </c>
      <c r="BQ134">
        <v>-7.85</v>
      </c>
      <c r="BR134">
        <v>-7.89</v>
      </c>
      <c r="BS134">
        <v>-7.83</v>
      </c>
      <c r="BT134">
        <v>-7.69</v>
      </c>
      <c r="BU134">
        <v>-7.47</v>
      </c>
      <c r="BV134">
        <v>-7.18</v>
      </c>
      <c r="BW134">
        <v>-6.85</v>
      </c>
      <c r="BX134">
        <v>-6.49</v>
      </c>
      <c r="BY134">
        <v>-6.11</v>
      </c>
      <c r="BZ134">
        <v>-5.71</v>
      </c>
      <c r="CA134">
        <v>-5.31</v>
      </c>
      <c r="CB134">
        <v>-4.93</v>
      </c>
      <c r="CC134">
        <v>-4.55</v>
      </c>
      <c r="CD134">
        <v>-4.2</v>
      </c>
      <c r="CE134">
        <v>-3.86</v>
      </c>
      <c r="CF134">
        <v>-3.55</v>
      </c>
      <c r="CG134">
        <v>-3.27</v>
      </c>
      <c r="CH134">
        <v>-3.02</v>
      </c>
      <c r="CI134">
        <v>-2.82</v>
      </c>
      <c r="CJ134">
        <v>-2.65</v>
      </c>
      <c r="CK134">
        <v>-2.5299999999999998</v>
      </c>
      <c r="CL134">
        <v>-2.4500000000000002</v>
      </c>
      <c r="CM134">
        <v>-2.4</v>
      </c>
      <c r="CN134">
        <v>-2.4</v>
      </c>
      <c r="CO134">
        <v>-2.44</v>
      </c>
      <c r="CP134">
        <v>-2.5099999999999998</v>
      </c>
      <c r="CQ134">
        <v>-2.63</v>
      </c>
      <c r="CR134">
        <v>-2.78</v>
      </c>
      <c r="CS134">
        <v>-2.95</v>
      </c>
      <c r="CT134">
        <v>-3.14</v>
      </c>
      <c r="CU134">
        <v>-3.3</v>
      </c>
      <c r="CV134">
        <v>-3.43</v>
      </c>
      <c r="CW134">
        <v>-3.49</v>
      </c>
      <c r="CX134">
        <v>-3.46</v>
      </c>
      <c r="CY134">
        <v>-3.34</v>
      </c>
      <c r="CZ134">
        <v>-3.12</v>
      </c>
      <c r="DA134">
        <v>-2.79</v>
      </c>
      <c r="DB134">
        <v>-2.38</v>
      </c>
    </row>
    <row r="135" spans="1:106" x14ac:dyDescent="0.25">
      <c r="A135" s="59"/>
      <c r="B135" s="59"/>
      <c r="C135" t="s">
        <v>58</v>
      </c>
      <c r="D135">
        <v>44</v>
      </c>
      <c r="E135" t="s">
        <v>2</v>
      </c>
      <c r="F135">
        <v>2.06</v>
      </c>
      <c r="G135">
        <v>1.99</v>
      </c>
      <c r="H135">
        <v>1.93</v>
      </c>
      <c r="I135">
        <v>1.85</v>
      </c>
      <c r="J135">
        <v>1.82</v>
      </c>
      <c r="K135">
        <v>1.91</v>
      </c>
      <c r="L135">
        <v>2.1</v>
      </c>
      <c r="M135">
        <v>2.3199999999999998</v>
      </c>
      <c r="N135">
        <v>2.5299999999999998</v>
      </c>
      <c r="O135">
        <v>2.68</v>
      </c>
      <c r="P135">
        <v>2.74</v>
      </c>
      <c r="Q135">
        <v>2.73</v>
      </c>
      <c r="R135">
        <v>2.67</v>
      </c>
      <c r="S135">
        <v>2.58</v>
      </c>
      <c r="T135">
        <v>2.4900000000000002</v>
      </c>
      <c r="U135">
        <v>2.4300000000000002</v>
      </c>
      <c r="V135">
        <v>2.41</v>
      </c>
      <c r="W135">
        <v>2.42</v>
      </c>
      <c r="X135">
        <v>2.4500000000000002</v>
      </c>
      <c r="Y135">
        <v>2.4900000000000002</v>
      </c>
      <c r="Z135">
        <v>2.5299999999999998</v>
      </c>
      <c r="AA135">
        <v>2.54</v>
      </c>
      <c r="AB135">
        <v>2.5499999999999998</v>
      </c>
      <c r="AC135">
        <v>2.5499999999999998</v>
      </c>
      <c r="AD135">
        <v>2.54</v>
      </c>
      <c r="AE135">
        <v>2.54</v>
      </c>
      <c r="AF135">
        <v>2.5499999999999998</v>
      </c>
      <c r="AG135">
        <v>2.58</v>
      </c>
      <c r="AH135">
        <v>2.63</v>
      </c>
      <c r="AI135">
        <v>2.69</v>
      </c>
      <c r="AJ135">
        <v>2.76</v>
      </c>
      <c r="AK135">
        <v>2.84</v>
      </c>
      <c r="AL135">
        <v>2.93</v>
      </c>
      <c r="AM135">
        <v>3.02</v>
      </c>
      <c r="AN135">
        <v>3.11</v>
      </c>
      <c r="AO135">
        <v>3.19</v>
      </c>
      <c r="AP135">
        <v>3.27</v>
      </c>
      <c r="AQ135">
        <v>3.35</v>
      </c>
      <c r="AR135">
        <v>3.42</v>
      </c>
      <c r="AS135">
        <v>3.48</v>
      </c>
      <c r="AT135">
        <v>3.52</v>
      </c>
      <c r="AU135">
        <v>3.55</v>
      </c>
      <c r="AV135">
        <v>3.55</v>
      </c>
      <c r="AW135">
        <v>3.54</v>
      </c>
      <c r="AX135">
        <v>3.5</v>
      </c>
      <c r="AY135">
        <v>3.44</v>
      </c>
      <c r="AZ135">
        <v>3.37</v>
      </c>
      <c r="BA135">
        <v>3.28</v>
      </c>
      <c r="BB135">
        <v>3.17</v>
      </c>
      <c r="BC135">
        <v>3.06</v>
      </c>
      <c r="BD135">
        <v>2.93</v>
      </c>
      <c r="BE135">
        <v>2.79</v>
      </c>
      <c r="BF135">
        <v>2.66</v>
      </c>
      <c r="BG135">
        <v>2.5499999999999998</v>
      </c>
      <c r="BH135">
        <v>2.48</v>
      </c>
      <c r="BI135">
        <v>2.4900000000000002</v>
      </c>
      <c r="BJ135">
        <v>2.58</v>
      </c>
      <c r="BK135">
        <v>2.77</v>
      </c>
      <c r="BL135">
        <v>3.05</v>
      </c>
      <c r="BM135">
        <v>3.38</v>
      </c>
      <c r="BN135">
        <v>3.7</v>
      </c>
      <c r="BO135">
        <v>3.9</v>
      </c>
      <c r="BP135">
        <v>3.91</v>
      </c>
      <c r="BQ135">
        <v>3.69</v>
      </c>
      <c r="BR135">
        <v>3.27</v>
      </c>
      <c r="BS135">
        <v>2.68</v>
      </c>
      <c r="BT135">
        <v>2</v>
      </c>
      <c r="BU135">
        <v>1.32</v>
      </c>
      <c r="BV135">
        <v>0.7</v>
      </c>
      <c r="BW135">
        <v>0.21</v>
      </c>
      <c r="BX135">
        <v>-8.6999999999999994E-2</v>
      </c>
      <c r="BY135">
        <v>-0.18</v>
      </c>
      <c r="BZ135">
        <v>-5.8000000000000003E-2</v>
      </c>
      <c r="CA135">
        <v>0.27</v>
      </c>
      <c r="CB135">
        <v>0.79</v>
      </c>
      <c r="CC135">
        <v>1.47</v>
      </c>
      <c r="CD135">
        <v>2.2799999999999998</v>
      </c>
      <c r="CE135">
        <v>3.14</v>
      </c>
      <c r="CF135">
        <v>4.01</v>
      </c>
      <c r="CG135">
        <v>4.82</v>
      </c>
      <c r="CH135">
        <v>5.52</v>
      </c>
      <c r="CI135">
        <v>6.05</v>
      </c>
      <c r="CJ135">
        <v>6.36</v>
      </c>
      <c r="CK135">
        <v>6.44</v>
      </c>
      <c r="CL135">
        <v>6.25</v>
      </c>
      <c r="CM135">
        <v>5.82</v>
      </c>
      <c r="CN135">
        <v>5.19</v>
      </c>
      <c r="CO135">
        <v>4.43</v>
      </c>
      <c r="CP135">
        <v>3.65</v>
      </c>
      <c r="CQ135">
        <v>2.94</v>
      </c>
      <c r="CR135">
        <v>2.4</v>
      </c>
      <c r="CS135">
        <v>2.06</v>
      </c>
      <c r="CT135">
        <v>1.93</v>
      </c>
      <c r="CU135">
        <v>1.94</v>
      </c>
      <c r="CV135">
        <v>2.0299999999999998</v>
      </c>
      <c r="CW135">
        <v>2.14</v>
      </c>
      <c r="CX135">
        <v>2.21</v>
      </c>
      <c r="CY135">
        <v>2.23</v>
      </c>
      <c r="CZ135">
        <v>2.19</v>
      </c>
      <c r="DA135">
        <v>2.11</v>
      </c>
      <c r="DB135">
        <v>1.99</v>
      </c>
    </row>
    <row r="136" spans="1:106" x14ac:dyDescent="0.25">
      <c r="A136" s="59"/>
      <c r="B136" s="59"/>
      <c r="C136" t="s">
        <v>59</v>
      </c>
      <c r="D136">
        <v>44</v>
      </c>
      <c r="E136" t="s">
        <v>2</v>
      </c>
      <c r="F136">
        <v>3.85</v>
      </c>
      <c r="G136">
        <v>3.88</v>
      </c>
      <c r="H136">
        <v>3.85</v>
      </c>
      <c r="I136">
        <v>3.8</v>
      </c>
      <c r="J136">
        <v>3.72</v>
      </c>
      <c r="K136">
        <v>3.62</v>
      </c>
      <c r="L136">
        <v>3.54</v>
      </c>
      <c r="M136">
        <v>3.46</v>
      </c>
      <c r="N136">
        <v>3.41</v>
      </c>
      <c r="O136">
        <v>3.38</v>
      </c>
      <c r="P136">
        <v>3.37</v>
      </c>
      <c r="Q136">
        <v>3.39</v>
      </c>
      <c r="R136">
        <v>3.43</v>
      </c>
      <c r="S136">
        <v>3.48</v>
      </c>
      <c r="T136">
        <v>3.54</v>
      </c>
      <c r="U136">
        <v>3.61</v>
      </c>
      <c r="V136">
        <v>3.66</v>
      </c>
      <c r="W136">
        <v>3.7</v>
      </c>
      <c r="X136">
        <v>3.7</v>
      </c>
      <c r="Y136">
        <v>3.68</v>
      </c>
      <c r="Z136">
        <v>3.63</v>
      </c>
      <c r="AA136">
        <v>3.56</v>
      </c>
      <c r="AB136">
        <v>3.46</v>
      </c>
      <c r="AC136">
        <v>3.33</v>
      </c>
      <c r="AD136">
        <v>3.18</v>
      </c>
      <c r="AE136">
        <v>3.01</v>
      </c>
      <c r="AF136">
        <v>2.82</v>
      </c>
      <c r="AG136">
        <v>2.61</v>
      </c>
      <c r="AH136">
        <v>2.38</v>
      </c>
      <c r="AI136">
        <v>2.14</v>
      </c>
      <c r="AJ136">
        <v>1.88</v>
      </c>
      <c r="AK136">
        <v>1.61</v>
      </c>
      <c r="AL136">
        <v>1.33</v>
      </c>
      <c r="AM136">
        <v>1.03</v>
      </c>
      <c r="AN136">
        <v>0.71</v>
      </c>
      <c r="AO136">
        <v>0.38</v>
      </c>
      <c r="AP136">
        <v>4.1000000000000002E-2</v>
      </c>
      <c r="AQ136">
        <v>-0.31</v>
      </c>
      <c r="AR136">
        <v>-0.67</v>
      </c>
      <c r="AS136">
        <v>-1.04</v>
      </c>
      <c r="AT136">
        <v>-1.41</v>
      </c>
      <c r="AU136">
        <v>-1.77</v>
      </c>
      <c r="AV136">
        <v>-2.12</v>
      </c>
      <c r="AW136">
        <v>-2.44</v>
      </c>
      <c r="AX136">
        <v>-2.74</v>
      </c>
      <c r="AY136">
        <v>-2.99</v>
      </c>
      <c r="AZ136">
        <v>-3.21</v>
      </c>
      <c r="BA136">
        <v>-3.39</v>
      </c>
      <c r="BB136">
        <v>-3.53</v>
      </c>
      <c r="BC136">
        <v>-3.64</v>
      </c>
      <c r="BD136">
        <v>-3.71</v>
      </c>
      <c r="BE136">
        <v>-3.75</v>
      </c>
      <c r="BF136">
        <v>-3.75</v>
      </c>
      <c r="BG136">
        <v>-3.72</v>
      </c>
      <c r="BH136">
        <v>-3.67</v>
      </c>
      <c r="BI136">
        <v>-3.62</v>
      </c>
      <c r="BJ136">
        <v>-3.56</v>
      </c>
      <c r="BK136">
        <v>-3.5</v>
      </c>
      <c r="BL136">
        <v>-3.45</v>
      </c>
      <c r="BM136">
        <v>-3.42</v>
      </c>
      <c r="BN136">
        <v>-3.39</v>
      </c>
      <c r="BO136">
        <v>-3.39</v>
      </c>
      <c r="BP136">
        <v>-3.4</v>
      </c>
      <c r="BQ136">
        <v>-3.42</v>
      </c>
      <c r="BR136">
        <v>-3.46</v>
      </c>
      <c r="BS136">
        <v>-3.49</v>
      </c>
      <c r="BT136">
        <v>-3.51</v>
      </c>
      <c r="BU136">
        <v>-3.52</v>
      </c>
      <c r="BV136">
        <v>-3.51</v>
      </c>
      <c r="BW136">
        <v>-3.48</v>
      </c>
      <c r="BX136">
        <v>-3.42</v>
      </c>
      <c r="BY136">
        <v>-3.34</v>
      </c>
      <c r="BZ136">
        <v>-3.23</v>
      </c>
      <c r="CA136">
        <v>-3.1</v>
      </c>
      <c r="CB136">
        <v>-2.94</v>
      </c>
      <c r="CC136">
        <v>-2.78</v>
      </c>
      <c r="CD136">
        <v>-2.59</v>
      </c>
      <c r="CE136">
        <v>-2.39</v>
      </c>
      <c r="CF136">
        <v>-2.17</v>
      </c>
      <c r="CG136">
        <v>-1.94</v>
      </c>
      <c r="CH136">
        <v>-1.69</v>
      </c>
      <c r="CI136">
        <v>-1.44</v>
      </c>
      <c r="CJ136">
        <v>-1.18</v>
      </c>
      <c r="CK136">
        <v>-0.91</v>
      </c>
      <c r="CL136">
        <v>-0.64</v>
      </c>
      <c r="CM136">
        <v>-0.35</v>
      </c>
      <c r="CN136">
        <v>-0.05</v>
      </c>
      <c r="CO136">
        <v>0.26</v>
      </c>
      <c r="CP136">
        <v>0.59</v>
      </c>
      <c r="CQ136">
        <v>0.92</v>
      </c>
      <c r="CR136">
        <v>1.26</v>
      </c>
      <c r="CS136">
        <v>1.59</v>
      </c>
      <c r="CT136">
        <v>1.9</v>
      </c>
      <c r="CU136">
        <v>2.2000000000000002</v>
      </c>
      <c r="CV136">
        <v>2.46</v>
      </c>
      <c r="CW136">
        <v>2.69</v>
      </c>
      <c r="CX136">
        <v>2.89</v>
      </c>
      <c r="CY136">
        <v>3.05</v>
      </c>
      <c r="CZ136">
        <v>3.16</v>
      </c>
      <c r="DA136">
        <v>3.23</v>
      </c>
      <c r="DB136">
        <v>3.26</v>
      </c>
    </row>
    <row r="137" spans="1:106" x14ac:dyDescent="0.25">
      <c r="A137" s="59"/>
      <c r="B137" s="59"/>
      <c r="C137" t="s">
        <v>60</v>
      </c>
      <c r="D137">
        <v>44</v>
      </c>
      <c r="E137" t="s">
        <v>2</v>
      </c>
      <c r="F137">
        <v>-10.4</v>
      </c>
      <c r="G137">
        <v>-9.16</v>
      </c>
      <c r="H137">
        <v>-8.06</v>
      </c>
      <c r="I137">
        <v>-7.24</v>
      </c>
      <c r="J137">
        <v>-6.48</v>
      </c>
      <c r="K137">
        <v>-5.56</v>
      </c>
      <c r="L137">
        <v>-4.5599999999999996</v>
      </c>
      <c r="M137">
        <v>-3.61</v>
      </c>
      <c r="N137">
        <v>-2.85</v>
      </c>
      <c r="O137">
        <v>-2.38</v>
      </c>
      <c r="P137">
        <v>-2.2200000000000002</v>
      </c>
      <c r="Q137">
        <v>-2.3199999999999998</v>
      </c>
      <c r="R137">
        <v>-2.57</v>
      </c>
      <c r="S137">
        <v>-2.88</v>
      </c>
      <c r="T137">
        <v>-3.17</v>
      </c>
      <c r="U137">
        <v>-3.37</v>
      </c>
      <c r="V137">
        <v>-3.44</v>
      </c>
      <c r="W137">
        <v>-3.37</v>
      </c>
      <c r="X137">
        <v>-3.18</v>
      </c>
      <c r="Y137">
        <v>-2.92</v>
      </c>
      <c r="Z137">
        <v>-2.62</v>
      </c>
      <c r="AA137">
        <v>-2.3199999999999998</v>
      </c>
      <c r="AB137">
        <v>-2.0499999999999998</v>
      </c>
      <c r="AC137">
        <v>-1.8</v>
      </c>
      <c r="AD137">
        <v>-1.57</v>
      </c>
      <c r="AE137">
        <v>-1.36</v>
      </c>
      <c r="AF137">
        <v>-1.1299999999999999</v>
      </c>
      <c r="AG137">
        <v>-0.86</v>
      </c>
      <c r="AH137">
        <v>-0.56000000000000005</v>
      </c>
      <c r="AI137">
        <v>-0.25</v>
      </c>
      <c r="AJ137">
        <v>6.9000000000000006E-2</v>
      </c>
      <c r="AK137">
        <v>0.38</v>
      </c>
      <c r="AL137">
        <v>0.67</v>
      </c>
      <c r="AM137">
        <v>0.95</v>
      </c>
      <c r="AN137">
        <v>1.18</v>
      </c>
      <c r="AO137">
        <v>1.36</v>
      </c>
      <c r="AP137">
        <v>1.49</v>
      </c>
      <c r="AQ137">
        <v>1.56</v>
      </c>
      <c r="AR137">
        <v>1.61</v>
      </c>
      <c r="AS137">
        <v>1.63</v>
      </c>
      <c r="AT137">
        <v>1.65</v>
      </c>
      <c r="AU137">
        <v>1.66</v>
      </c>
      <c r="AV137">
        <v>1.68</v>
      </c>
      <c r="AW137">
        <v>1.69</v>
      </c>
      <c r="AX137">
        <v>1.69</v>
      </c>
      <c r="AY137">
        <v>1.65</v>
      </c>
      <c r="AZ137">
        <v>1.57</v>
      </c>
      <c r="BA137">
        <v>1.43</v>
      </c>
      <c r="BB137">
        <v>1.21</v>
      </c>
      <c r="BC137">
        <v>0.91</v>
      </c>
      <c r="BD137">
        <v>0.54</v>
      </c>
      <c r="BE137">
        <v>0.12</v>
      </c>
      <c r="BF137">
        <v>-0.3</v>
      </c>
      <c r="BG137">
        <v>-0.67</v>
      </c>
      <c r="BH137">
        <v>-0.93</v>
      </c>
      <c r="BI137">
        <v>-1.04</v>
      </c>
      <c r="BJ137">
        <v>-0.98</v>
      </c>
      <c r="BK137">
        <v>-0.73</v>
      </c>
      <c r="BL137">
        <v>-0.33</v>
      </c>
      <c r="BM137">
        <v>0.17</v>
      </c>
      <c r="BN137">
        <v>0.65</v>
      </c>
      <c r="BO137">
        <v>0.98</v>
      </c>
      <c r="BP137">
        <v>1.08</v>
      </c>
      <c r="BQ137">
        <v>0.93</v>
      </c>
      <c r="BR137">
        <v>0.56000000000000005</v>
      </c>
      <c r="BS137">
        <v>1.9E-2</v>
      </c>
      <c r="BT137">
        <v>-0.6</v>
      </c>
      <c r="BU137">
        <v>-1.24</v>
      </c>
      <c r="BV137">
        <v>-1.84</v>
      </c>
      <c r="BW137">
        <v>-2.3199999999999998</v>
      </c>
      <c r="BX137">
        <v>-2.65</v>
      </c>
      <c r="BY137">
        <v>-2.81</v>
      </c>
      <c r="BZ137">
        <v>-2.8</v>
      </c>
      <c r="CA137">
        <v>-2.6</v>
      </c>
      <c r="CB137">
        <v>-2.2200000000000002</v>
      </c>
      <c r="CC137">
        <v>-1.69</v>
      </c>
      <c r="CD137">
        <v>-1.02</v>
      </c>
      <c r="CE137">
        <v>-0.26</v>
      </c>
      <c r="CF137">
        <v>0.53</v>
      </c>
      <c r="CG137">
        <v>1.33</v>
      </c>
      <c r="CH137">
        <v>2.1</v>
      </c>
      <c r="CI137">
        <v>2.76</v>
      </c>
      <c r="CJ137">
        <v>3.28</v>
      </c>
      <c r="CK137">
        <v>3.58</v>
      </c>
      <c r="CL137">
        <v>3.59</v>
      </c>
      <c r="CM137">
        <v>3.25</v>
      </c>
      <c r="CN137">
        <v>2.4700000000000002</v>
      </c>
      <c r="CO137">
        <v>1.21</v>
      </c>
      <c r="CP137">
        <v>-0.53</v>
      </c>
      <c r="CQ137">
        <v>-2.7</v>
      </c>
      <c r="CR137">
        <v>-5.19</v>
      </c>
      <c r="CS137">
        <v>-7.75</v>
      </c>
      <c r="CT137">
        <v>-10.1</v>
      </c>
      <c r="CU137">
        <v>-12.1</v>
      </c>
      <c r="CV137">
        <v>-13.5</v>
      </c>
      <c r="CW137">
        <v>-14.3</v>
      </c>
      <c r="CX137">
        <v>-14.5</v>
      </c>
      <c r="CY137">
        <v>-14</v>
      </c>
      <c r="CZ137">
        <v>-13.2</v>
      </c>
      <c r="DA137">
        <v>-12.2</v>
      </c>
      <c r="DB137">
        <v>-11.1</v>
      </c>
    </row>
    <row r="138" spans="1:106" x14ac:dyDescent="0.25">
      <c r="A138" s="59"/>
      <c r="B138" s="59"/>
      <c r="C138" t="s">
        <v>61</v>
      </c>
      <c r="D138">
        <v>44</v>
      </c>
      <c r="E138" t="s">
        <v>2</v>
      </c>
      <c r="F138">
        <v>3.4</v>
      </c>
      <c r="G138">
        <v>3.19</v>
      </c>
      <c r="H138">
        <v>3.49</v>
      </c>
      <c r="I138">
        <v>4.3899999999999997</v>
      </c>
      <c r="J138">
        <v>5.69</v>
      </c>
      <c r="K138">
        <v>7.04</v>
      </c>
      <c r="L138">
        <v>8.25</v>
      </c>
      <c r="M138">
        <v>9.16</v>
      </c>
      <c r="N138">
        <v>9.76</v>
      </c>
      <c r="O138">
        <v>10.1</v>
      </c>
      <c r="P138">
        <v>10.199999999999999</v>
      </c>
      <c r="Q138">
        <v>10.199999999999999</v>
      </c>
      <c r="R138">
        <v>9.9499999999999993</v>
      </c>
      <c r="S138">
        <v>9.6</v>
      </c>
      <c r="T138">
        <v>9.19</v>
      </c>
      <c r="U138">
        <v>8.75</v>
      </c>
      <c r="V138">
        <v>8.32</v>
      </c>
      <c r="W138">
        <v>7.91</v>
      </c>
      <c r="X138">
        <v>7.52</v>
      </c>
      <c r="Y138">
        <v>7.17</v>
      </c>
      <c r="Z138">
        <v>6.84</v>
      </c>
      <c r="AA138">
        <v>6.53</v>
      </c>
      <c r="AB138">
        <v>6.25</v>
      </c>
      <c r="AC138">
        <v>5.99</v>
      </c>
      <c r="AD138">
        <v>5.73</v>
      </c>
      <c r="AE138">
        <v>5.45</v>
      </c>
      <c r="AF138">
        <v>5.15</v>
      </c>
      <c r="AG138">
        <v>4.82</v>
      </c>
      <c r="AH138">
        <v>4.47</v>
      </c>
      <c r="AI138">
        <v>4.1100000000000003</v>
      </c>
      <c r="AJ138">
        <v>3.75</v>
      </c>
      <c r="AK138">
        <v>3.42</v>
      </c>
      <c r="AL138">
        <v>3.11</v>
      </c>
      <c r="AM138">
        <v>2.84</v>
      </c>
      <c r="AN138">
        <v>2.62</v>
      </c>
      <c r="AO138">
        <v>2.46</v>
      </c>
      <c r="AP138">
        <v>2.35</v>
      </c>
      <c r="AQ138">
        <v>2.2999999999999998</v>
      </c>
      <c r="AR138">
        <v>2.31</v>
      </c>
      <c r="AS138">
        <v>2.36</v>
      </c>
      <c r="AT138">
        <v>2.46</v>
      </c>
      <c r="AU138">
        <v>2.61</v>
      </c>
      <c r="AV138">
        <v>2.82</v>
      </c>
      <c r="AW138">
        <v>3.09</v>
      </c>
      <c r="AX138">
        <v>3.45</v>
      </c>
      <c r="AY138">
        <v>3.88</v>
      </c>
      <c r="AZ138">
        <v>4.37</v>
      </c>
      <c r="BA138">
        <v>4.8899999999999997</v>
      </c>
      <c r="BB138">
        <v>5.4</v>
      </c>
      <c r="BC138">
        <v>5.87</v>
      </c>
      <c r="BD138">
        <v>6.26</v>
      </c>
      <c r="BE138">
        <v>6.52</v>
      </c>
      <c r="BF138">
        <v>6.61</v>
      </c>
      <c r="BG138">
        <v>6.52</v>
      </c>
      <c r="BH138">
        <v>6.27</v>
      </c>
      <c r="BI138">
        <v>5.92</v>
      </c>
      <c r="BJ138">
        <v>5.54</v>
      </c>
      <c r="BK138">
        <v>5.27</v>
      </c>
      <c r="BL138">
        <v>5.17</v>
      </c>
      <c r="BM138">
        <v>5.34</v>
      </c>
      <c r="BN138">
        <v>5.83</v>
      </c>
      <c r="BO138">
        <v>6.65</v>
      </c>
      <c r="BP138">
        <v>7.77</v>
      </c>
      <c r="BQ138">
        <v>9.01</v>
      </c>
      <c r="BR138">
        <v>10.199999999999999</v>
      </c>
      <c r="BS138">
        <v>11.1</v>
      </c>
      <c r="BT138">
        <v>11.7</v>
      </c>
      <c r="BU138">
        <v>12</v>
      </c>
      <c r="BV138">
        <v>11.8</v>
      </c>
      <c r="BW138">
        <v>11.3</v>
      </c>
      <c r="BX138">
        <v>10.7</v>
      </c>
      <c r="BY138">
        <v>9.9600000000000009</v>
      </c>
      <c r="BZ138">
        <v>9.23</v>
      </c>
      <c r="CA138">
        <v>8.56</v>
      </c>
      <c r="CB138">
        <v>7.95</v>
      </c>
      <c r="CC138">
        <v>7.41</v>
      </c>
      <c r="CD138">
        <v>6.88</v>
      </c>
      <c r="CE138">
        <v>6.34</v>
      </c>
      <c r="CF138">
        <v>5.72</v>
      </c>
      <c r="CG138">
        <v>4.99</v>
      </c>
      <c r="CH138">
        <v>4.12</v>
      </c>
      <c r="CI138">
        <v>3.14</v>
      </c>
      <c r="CJ138">
        <v>2.0699999999999998</v>
      </c>
      <c r="CK138">
        <v>0.97</v>
      </c>
      <c r="CL138">
        <v>-7.1999999999999995E-2</v>
      </c>
      <c r="CM138">
        <v>-0.95</v>
      </c>
      <c r="CN138">
        <v>-1.53</v>
      </c>
      <c r="CO138">
        <v>-1.73</v>
      </c>
      <c r="CP138">
        <v>-1.48</v>
      </c>
      <c r="CQ138">
        <v>-0.76</v>
      </c>
      <c r="CR138">
        <v>0.34</v>
      </c>
      <c r="CS138">
        <v>1.66</v>
      </c>
      <c r="CT138">
        <v>2.99</v>
      </c>
      <c r="CU138">
        <v>4.1500000000000004</v>
      </c>
      <c r="CV138">
        <v>4.99</v>
      </c>
      <c r="CW138">
        <v>5.43</v>
      </c>
      <c r="CX138">
        <v>5.45</v>
      </c>
      <c r="CY138">
        <v>5.14</v>
      </c>
      <c r="CZ138">
        <v>4.6500000000000004</v>
      </c>
      <c r="DA138">
        <v>4.16</v>
      </c>
      <c r="DB138">
        <v>3.84</v>
      </c>
    </row>
    <row r="139" spans="1:106" x14ac:dyDescent="0.25">
      <c r="A139" s="59"/>
      <c r="B139" s="59"/>
      <c r="C139" t="s">
        <v>62</v>
      </c>
      <c r="D139">
        <v>44</v>
      </c>
      <c r="E139" t="s">
        <v>2</v>
      </c>
      <c r="F139">
        <v>13.1</v>
      </c>
      <c r="G139">
        <v>12.1</v>
      </c>
      <c r="H139">
        <v>10.8</v>
      </c>
      <c r="I139">
        <v>9.1999999999999993</v>
      </c>
      <c r="J139">
        <v>7.35</v>
      </c>
      <c r="K139">
        <v>5.32</v>
      </c>
      <c r="L139">
        <v>3.33</v>
      </c>
      <c r="M139">
        <v>1.6</v>
      </c>
      <c r="N139">
        <v>0.25</v>
      </c>
      <c r="O139">
        <v>-0.66</v>
      </c>
      <c r="P139">
        <v>-1.1200000000000001</v>
      </c>
      <c r="Q139">
        <v>-1.18</v>
      </c>
      <c r="R139">
        <v>-0.93</v>
      </c>
      <c r="S139">
        <v>-0.47</v>
      </c>
      <c r="T139">
        <v>7.0000000000000007E-2</v>
      </c>
      <c r="U139">
        <v>0.6</v>
      </c>
      <c r="V139">
        <v>1.07</v>
      </c>
      <c r="W139">
        <v>1.44</v>
      </c>
      <c r="X139">
        <v>1.71</v>
      </c>
      <c r="Y139">
        <v>1.93</v>
      </c>
      <c r="Z139">
        <v>2.11</v>
      </c>
      <c r="AA139">
        <v>2.2799999999999998</v>
      </c>
      <c r="AB139">
        <v>2.46</v>
      </c>
      <c r="AC139">
        <v>2.66</v>
      </c>
      <c r="AD139">
        <v>2.89</v>
      </c>
      <c r="AE139">
        <v>3.13</v>
      </c>
      <c r="AF139">
        <v>3.38</v>
      </c>
      <c r="AG139">
        <v>3.63</v>
      </c>
      <c r="AH139">
        <v>3.86</v>
      </c>
      <c r="AI139">
        <v>4.08</v>
      </c>
      <c r="AJ139">
        <v>4.2699999999999996</v>
      </c>
      <c r="AK139">
        <v>4.4400000000000004</v>
      </c>
      <c r="AL139">
        <v>4.5999999999999996</v>
      </c>
      <c r="AM139">
        <v>4.74</v>
      </c>
      <c r="AN139">
        <v>4.88</v>
      </c>
      <c r="AO139">
        <v>5.0199999999999996</v>
      </c>
      <c r="AP139">
        <v>5.16</v>
      </c>
      <c r="AQ139">
        <v>5.31</v>
      </c>
      <c r="AR139">
        <v>5.47</v>
      </c>
      <c r="AS139">
        <v>5.63</v>
      </c>
      <c r="AT139">
        <v>5.78</v>
      </c>
      <c r="AU139">
        <v>5.91</v>
      </c>
      <c r="AV139">
        <v>6.02</v>
      </c>
      <c r="AW139">
        <v>6.09</v>
      </c>
      <c r="AX139">
        <v>6.14</v>
      </c>
      <c r="AY139">
        <v>6.17</v>
      </c>
      <c r="AZ139">
        <v>6.21</v>
      </c>
      <c r="BA139">
        <v>6.3</v>
      </c>
      <c r="BB139">
        <v>6.49</v>
      </c>
      <c r="BC139">
        <v>6.83</v>
      </c>
      <c r="BD139">
        <v>7.35</v>
      </c>
      <c r="BE139">
        <v>8.07</v>
      </c>
      <c r="BF139">
        <v>9</v>
      </c>
      <c r="BG139">
        <v>10.1</v>
      </c>
      <c r="BH139">
        <v>11.3</v>
      </c>
      <c r="BI139">
        <v>12.4</v>
      </c>
      <c r="BJ139">
        <v>13.4</v>
      </c>
      <c r="BK139">
        <v>14</v>
      </c>
      <c r="BL139">
        <v>14.2</v>
      </c>
      <c r="BM139">
        <v>13.9</v>
      </c>
      <c r="BN139">
        <v>13</v>
      </c>
      <c r="BO139">
        <v>11.7</v>
      </c>
      <c r="BP139">
        <v>10.199999999999999</v>
      </c>
      <c r="BQ139">
        <v>8.4</v>
      </c>
      <c r="BR139">
        <v>6.66</v>
      </c>
      <c r="BS139">
        <v>5.08</v>
      </c>
      <c r="BT139">
        <v>3.79</v>
      </c>
      <c r="BU139">
        <v>2.87</v>
      </c>
      <c r="BV139">
        <v>2.3199999999999998</v>
      </c>
      <c r="BW139">
        <v>2.1</v>
      </c>
      <c r="BX139">
        <v>2.13</v>
      </c>
      <c r="BY139">
        <v>2.2999999999999998</v>
      </c>
      <c r="BZ139">
        <v>2.5</v>
      </c>
      <c r="CA139">
        <v>2.65</v>
      </c>
      <c r="CB139">
        <v>2.69</v>
      </c>
      <c r="CC139">
        <v>2.58</v>
      </c>
      <c r="CD139">
        <v>2.34</v>
      </c>
      <c r="CE139">
        <v>2.02</v>
      </c>
      <c r="CF139">
        <v>1.65</v>
      </c>
      <c r="CG139">
        <v>1.3</v>
      </c>
      <c r="CH139">
        <v>1.04</v>
      </c>
      <c r="CI139">
        <v>0.91</v>
      </c>
      <c r="CJ139">
        <v>0.97</v>
      </c>
      <c r="CK139">
        <v>1.26</v>
      </c>
      <c r="CL139">
        <v>1.79</v>
      </c>
      <c r="CM139">
        <v>2.59</v>
      </c>
      <c r="CN139">
        <v>3.63</v>
      </c>
      <c r="CO139">
        <v>4.8899999999999997</v>
      </c>
      <c r="CP139">
        <v>6.33</v>
      </c>
      <c r="CQ139">
        <v>7.88</v>
      </c>
      <c r="CR139">
        <v>9.48</v>
      </c>
      <c r="CS139">
        <v>11</v>
      </c>
      <c r="CT139">
        <v>12.4</v>
      </c>
      <c r="CU139">
        <v>13.5</v>
      </c>
      <c r="CV139">
        <v>14.3</v>
      </c>
      <c r="CW139">
        <v>14.8</v>
      </c>
      <c r="CX139">
        <v>15</v>
      </c>
      <c r="CY139">
        <v>14.9</v>
      </c>
      <c r="CZ139">
        <v>14.5</v>
      </c>
      <c r="DA139">
        <v>13.9</v>
      </c>
      <c r="DB139">
        <v>13.1</v>
      </c>
    </row>
    <row r="140" spans="1:106" x14ac:dyDescent="0.25">
      <c r="A140" s="59"/>
      <c r="B140" s="59"/>
      <c r="C140" t="s">
        <v>63</v>
      </c>
      <c r="D140">
        <v>44</v>
      </c>
      <c r="E140" t="s">
        <v>2</v>
      </c>
      <c r="F140">
        <v>-11.5</v>
      </c>
      <c r="G140">
        <v>-11.2</v>
      </c>
      <c r="H140">
        <v>-11</v>
      </c>
      <c r="I140">
        <v>-10.6</v>
      </c>
      <c r="J140">
        <v>-10.199999999999999</v>
      </c>
      <c r="K140">
        <v>-9.8800000000000008</v>
      </c>
      <c r="L140">
        <v>-9.57</v>
      </c>
      <c r="M140">
        <v>-9.35</v>
      </c>
      <c r="N140">
        <v>-9.24</v>
      </c>
      <c r="O140">
        <v>-9.24</v>
      </c>
      <c r="P140">
        <v>-9.33</v>
      </c>
      <c r="Q140">
        <v>-9.4700000000000006</v>
      </c>
      <c r="R140">
        <v>-9.64</v>
      </c>
      <c r="S140">
        <v>-9.81</v>
      </c>
      <c r="T140">
        <v>-9.9700000000000006</v>
      </c>
      <c r="U140">
        <v>-10.1</v>
      </c>
      <c r="V140">
        <v>-10.199999999999999</v>
      </c>
      <c r="W140">
        <v>-10.3</v>
      </c>
      <c r="X140">
        <v>-10.4</v>
      </c>
      <c r="Y140">
        <v>-10.4</v>
      </c>
      <c r="Z140">
        <v>-10.5</v>
      </c>
      <c r="AA140">
        <v>-10.6</v>
      </c>
      <c r="AB140">
        <v>-10.6</v>
      </c>
      <c r="AC140">
        <v>-10.7</v>
      </c>
      <c r="AD140">
        <v>-10.8</v>
      </c>
      <c r="AE140">
        <v>-10.9</v>
      </c>
      <c r="AF140">
        <v>-11</v>
      </c>
      <c r="AG140">
        <v>-11.1</v>
      </c>
      <c r="AH140">
        <v>-11.2</v>
      </c>
      <c r="AI140">
        <v>-11.4</v>
      </c>
      <c r="AJ140">
        <v>-11.5</v>
      </c>
      <c r="AK140">
        <v>-11.7</v>
      </c>
      <c r="AL140">
        <v>-11.9</v>
      </c>
      <c r="AM140">
        <v>-12</v>
      </c>
      <c r="AN140">
        <v>-12.2</v>
      </c>
      <c r="AO140">
        <v>-12.4</v>
      </c>
      <c r="AP140">
        <v>-12.6</v>
      </c>
      <c r="AQ140">
        <v>-12.8</v>
      </c>
      <c r="AR140">
        <v>-12.9</v>
      </c>
      <c r="AS140">
        <v>-13.1</v>
      </c>
      <c r="AT140">
        <v>-13.2</v>
      </c>
      <c r="AU140">
        <v>-13.2</v>
      </c>
      <c r="AV140">
        <v>-13.2</v>
      </c>
      <c r="AW140">
        <v>-13.2</v>
      </c>
      <c r="AX140">
        <v>-13</v>
      </c>
      <c r="AY140">
        <v>-12.8</v>
      </c>
      <c r="AZ140">
        <v>-12.5</v>
      </c>
      <c r="BA140">
        <v>-12.2</v>
      </c>
      <c r="BB140">
        <v>-11.8</v>
      </c>
      <c r="BC140">
        <v>-11.3</v>
      </c>
      <c r="BD140">
        <v>-10.7</v>
      </c>
      <c r="BE140">
        <v>-10.1</v>
      </c>
      <c r="BF140">
        <v>-9.4</v>
      </c>
      <c r="BG140">
        <v>-8.64</v>
      </c>
      <c r="BH140">
        <v>-7.84</v>
      </c>
      <c r="BI140">
        <v>-7.01</v>
      </c>
      <c r="BJ140">
        <v>-6.22</v>
      </c>
      <c r="BK140">
        <v>-5.52</v>
      </c>
      <c r="BL140">
        <v>-4.9800000000000004</v>
      </c>
      <c r="BM140">
        <v>-4.67</v>
      </c>
      <c r="BN140">
        <v>-4.66</v>
      </c>
      <c r="BO140">
        <v>-4.9800000000000004</v>
      </c>
      <c r="BP140">
        <v>-5.62</v>
      </c>
      <c r="BQ140">
        <v>-6.56</v>
      </c>
      <c r="BR140">
        <v>-7.73</v>
      </c>
      <c r="BS140">
        <v>-9.06</v>
      </c>
      <c r="BT140">
        <v>-10.4</v>
      </c>
      <c r="BU140">
        <v>-11.8</v>
      </c>
      <c r="BV140">
        <v>-13.1</v>
      </c>
      <c r="BW140">
        <v>-14.2</v>
      </c>
      <c r="BX140">
        <v>-15.1</v>
      </c>
      <c r="BY140">
        <v>-15.8</v>
      </c>
      <c r="BZ140">
        <v>-16.399999999999999</v>
      </c>
      <c r="CA140">
        <v>-16.8</v>
      </c>
      <c r="CB140">
        <v>-17.2</v>
      </c>
      <c r="CC140">
        <v>-17.399999999999999</v>
      </c>
      <c r="CD140">
        <v>-17.7</v>
      </c>
      <c r="CE140">
        <v>-17.899999999999999</v>
      </c>
      <c r="CF140">
        <v>-18.100000000000001</v>
      </c>
      <c r="CG140">
        <v>-18.3</v>
      </c>
      <c r="CH140">
        <v>-18.5</v>
      </c>
      <c r="CI140">
        <v>-18.600000000000001</v>
      </c>
      <c r="CJ140">
        <v>-18.7</v>
      </c>
      <c r="CK140">
        <v>-18.600000000000001</v>
      </c>
      <c r="CL140">
        <v>-18.5</v>
      </c>
      <c r="CM140">
        <v>-18.3</v>
      </c>
      <c r="CN140">
        <v>-17.899999999999999</v>
      </c>
      <c r="CO140">
        <v>-17.5</v>
      </c>
      <c r="CP140">
        <v>-16.899999999999999</v>
      </c>
      <c r="CQ140">
        <v>-16.3</v>
      </c>
      <c r="CR140">
        <v>-15.6</v>
      </c>
      <c r="CS140">
        <v>-15</v>
      </c>
      <c r="CT140">
        <v>-14.3</v>
      </c>
      <c r="CU140">
        <v>-13.8</v>
      </c>
      <c r="CV140">
        <v>-13.3</v>
      </c>
      <c r="CW140">
        <v>-13</v>
      </c>
      <c r="CX140">
        <v>-12.7</v>
      </c>
      <c r="CY140">
        <v>-12.6</v>
      </c>
      <c r="CZ140">
        <v>-12.4</v>
      </c>
      <c r="DA140">
        <v>-12.3</v>
      </c>
      <c r="DB140">
        <v>-12.1</v>
      </c>
    </row>
    <row r="142" spans="1:106" x14ac:dyDescent="0.25">
      <c r="A142" s="59">
        <v>9</v>
      </c>
      <c r="B142" s="59" t="s">
        <v>85</v>
      </c>
      <c r="C142" t="s">
        <v>52</v>
      </c>
      <c r="D142">
        <v>9</v>
      </c>
      <c r="E142" t="s">
        <v>2</v>
      </c>
      <c r="F142">
        <v>15.7</v>
      </c>
      <c r="G142">
        <v>15.4</v>
      </c>
      <c r="H142">
        <v>15.2</v>
      </c>
      <c r="I142">
        <v>15</v>
      </c>
      <c r="J142">
        <v>14.8</v>
      </c>
      <c r="K142">
        <v>14.6</v>
      </c>
      <c r="L142">
        <v>14.4</v>
      </c>
      <c r="M142">
        <v>14.2</v>
      </c>
      <c r="N142">
        <v>14</v>
      </c>
      <c r="O142">
        <v>13.9</v>
      </c>
      <c r="P142">
        <v>13.8</v>
      </c>
      <c r="Q142">
        <v>13.8</v>
      </c>
      <c r="R142">
        <v>13.8</v>
      </c>
      <c r="S142">
        <v>13.8</v>
      </c>
      <c r="T142">
        <v>13.8</v>
      </c>
      <c r="U142">
        <v>13.9</v>
      </c>
      <c r="V142">
        <v>14.1</v>
      </c>
      <c r="W142">
        <v>14.2</v>
      </c>
      <c r="X142">
        <v>14.4</v>
      </c>
      <c r="Y142">
        <v>14.6</v>
      </c>
      <c r="Z142">
        <v>14.8</v>
      </c>
      <c r="AA142">
        <v>15</v>
      </c>
      <c r="AB142">
        <v>15.2</v>
      </c>
      <c r="AC142">
        <v>15.4</v>
      </c>
      <c r="AD142">
        <v>15.6</v>
      </c>
      <c r="AE142">
        <v>15.8</v>
      </c>
      <c r="AF142">
        <v>16</v>
      </c>
      <c r="AG142">
        <v>16.100000000000001</v>
      </c>
      <c r="AH142">
        <v>16.2</v>
      </c>
      <c r="AI142">
        <v>16.399999999999999</v>
      </c>
      <c r="AJ142">
        <v>16.5</v>
      </c>
      <c r="AK142">
        <v>16.600000000000001</v>
      </c>
      <c r="AL142">
        <v>16.600000000000001</v>
      </c>
      <c r="AM142">
        <v>16.7</v>
      </c>
      <c r="AN142">
        <v>16.7</v>
      </c>
      <c r="AO142">
        <v>16.8</v>
      </c>
      <c r="AP142">
        <v>16.8</v>
      </c>
      <c r="AQ142">
        <v>16.8</v>
      </c>
      <c r="AR142">
        <v>16.8</v>
      </c>
      <c r="AS142">
        <v>16.8</v>
      </c>
      <c r="AT142">
        <v>16.8</v>
      </c>
      <c r="AU142">
        <v>16.8</v>
      </c>
      <c r="AV142">
        <v>16.7</v>
      </c>
      <c r="AW142">
        <v>16.7</v>
      </c>
      <c r="AX142">
        <v>16.600000000000001</v>
      </c>
      <c r="AY142">
        <v>16.600000000000001</v>
      </c>
      <c r="AZ142">
        <v>16.5</v>
      </c>
      <c r="BA142">
        <v>16.399999999999999</v>
      </c>
      <c r="BB142">
        <v>16.3</v>
      </c>
      <c r="BC142">
        <v>16.2</v>
      </c>
      <c r="BD142">
        <v>16.100000000000001</v>
      </c>
      <c r="BE142">
        <v>15.9</v>
      </c>
      <c r="BF142">
        <v>15.8</v>
      </c>
      <c r="BG142">
        <v>15.6</v>
      </c>
      <c r="BH142">
        <v>15.4</v>
      </c>
      <c r="BI142">
        <v>15.3</v>
      </c>
      <c r="BJ142">
        <v>15.1</v>
      </c>
      <c r="BK142">
        <v>15</v>
      </c>
      <c r="BL142">
        <v>14.9</v>
      </c>
      <c r="BM142">
        <v>14.8</v>
      </c>
      <c r="BN142">
        <v>14.8</v>
      </c>
      <c r="BO142">
        <v>14.8</v>
      </c>
      <c r="BP142">
        <v>14.8</v>
      </c>
      <c r="BQ142">
        <v>14.9</v>
      </c>
      <c r="BR142">
        <v>14.9</v>
      </c>
      <c r="BS142">
        <v>15.1</v>
      </c>
      <c r="BT142">
        <v>15.2</v>
      </c>
      <c r="BU142">
        <v>15.4</v>
      </c>
      <c r="BV142">
        <v>15.6</v>
      </c>
      <c r="BW142">
        <v>15.8</v>
      </c>
      <c r="BX142">
        <v>16.100000000000001</v>
      </c>
      <c r="BY142">
        <v>16.3</v>
      </c>
      <c r="BZ142">
        <v>16.5</v>
      </c>
      <c r="CA142">
        <v>16.7</v>
      </c>
      <c r="CB142">
        <v>16.899999999999999</v>
      </c>
      <c r="CC142">
        <v>17.100000000000001</v>
      </c>
      <c r="CD142">
        <v>17.3</v>
      </c>
      <c r="CE142">
        <v>17.5</v>
      </c>
      <c r="CF142">
        <v>17.600000000000001</v>
      </c>
      <c r="CG142">
        <v>17.7</v>
      </c>
      <c r="CH142">
        <v>17.8</v>
      </c>
      <c r="CI142">
        <v>17.899999999999999</v>
      </c>
      <c r="CJ142">
        <v>17.899999999999999</v>
      </c>
      <c r="CK142">
        <v>18</v>
      </c>
      <c r="CL142">
        <v>18</v>
      </c>
      <c r="CM142">
        <v>18</v>
      </c>
      <c r="CN142">
        <v>18</v>
      </c>
      <c r="CO142">
        <v>18</v>
      </c>
      <c r="CP142">
        <v>18</v>
      </c>
      <c r="CQ142">
        <v>17.899999999999999</v>
      </c>
      <c r="CR142">
        <v>17.899999999999999</v>
      </c>
      <c r="CS142">
        <v>17.899999999999999</v>
      </c>
      <c r="CT142">
        <v>17.8</v>
      </c>
      <c r="CU142">
        <v>17.7</v>
      </c>
      <c r="CV142">
        <v>17.7</v>
      </c>
      <c r="CW142">
        <v>17.5</v>
      </c>
      <c r="CX142">
        <v>17.399999999999999</v>
      </c>
      <c r="CY142">
        <v>17.2</v>
      </c>
      <c r="CZ142">
        <v>17</v>
      </c>
      <c r="DA142">
        <v>16.8</v>
      </c>
      <c r="DB142">
        <v>16.600000000000001</v>
      </c>
    </row>
    <row r="143" spans="1:106" x14ac:dyDescent="0.25">
      <c r="A143" s="59"/>
      <c r="B143" s="59"/>
      <c r="C143" t="s">
        <v>53</v>
      </c>
      <c r="D143">
        <v>9</v>
      </c>
      <c r="E143" t="s">
        <v>2</v>
      </c>
      <c r="F143">
        <v>43.3</v>
      </c>
      <c r="G143">
        <v>43</v>
      </c>
      <c r="H143">
        <v>42.6</v>
      </c>
      <c r="I143">
        <v>42.2</v>
      </c>
      <c r="J143">
        <v>41.8</v>
      </c>
      <c r="K143">
        <v>41.2</v>
      </c>
      <c r="L143">
        <v>40.6</v>
      </c>
      <c r="M143">
        <v>39.9</v>
      </c>
      <c r="N143">
        <v>39.1</v>
      </c>
      <c r="O143">
        <v>38.200000000000003</v>
      </c>
      <c r="P143">
        <v>37.200000000000003</v>
      </c>
      <c r="Q143">
        <v>36.1</v>
      </c>
      <c r="R143">
        <v>35</v>
      </c>
      <c r="S143">
        <v>33.799999999999997</v>
      </c>
      <c r="T143">
        <v>32.5</v>
      </c>
      <c r="U143">
        <v>31.2</v>
      </c>
      <c r="V143">
        <v>29.8</v>
      </c>
      <c r="W143">
        <v>28.4</v>
      </c>
      <c r="X143">
        <v>26.8</v>
      </c>
      <c r="Y143">
        <v>25.2</v>
      </c>
      <c r="Z143">
        <v>23.6</v>
      </c>
      <c r="AA143">
        <v>21.9</v>
      </c>
      <c r="AB143">
        <v>20.2</v>
      </c>
      <c r="AC143">
        <v>18.600000000000001</v>
      </c>
      <c r="AD143">
        <v>17</v>
      </c>
      <c r="AE143">
        <v>15.5</v>
      </c>
      <c r="AF143">
        <v>13.9</v>
      </c>
      <c r="AG143">
        <v>12.4</v>
      </c>
      <c r="AH143">
        <v>11</v>
      </c>
      <c r="AI143">
        <v>9.6</v>
      </c>
      <c r="AJ143">
        <v>8.23</v>
      </c>
      <c r="AK143">
        <v>6.89</v>
      </c>
      <c r="AL143">
        <v>5.57</v>
      </c>
      <c r="AM143">
        <v>4.29</v>
      </c>
      <c r="AN143">
        <v>3.01</v>
      </c>
      <c r="AO143">
        <v>1.76</v>
      </c>
      <c r="AP143">
        <v>0.51</v>
      </c>
      <c r="AQ143">
        <v>-0.72</v>
      </c>
      <c r="AR143">
        <v>-1.96</v>
      </c>
      <c r="AS143">
        <v>-3.18</v>
      </c>
      <c r="AT143">
        <v>-4.41</v>
      </c>
      <c r="AU143">
        <v>-5.65</v>
      </c>
      <c r="AV143">
        <v>-6.87</v>
      </c>
      <c r="AW143">
        <v>-8.09</v>
      </c>
      <c r="AX143">
        <v>-9.27</v>
      </c>
      <c r="AY143">
        <v>-10.4</v>
      </c>
      <c r="AZ143">
        <v>-11.5</v>
      </c>
      <c r="BA143">
        <v>-12.5</v>
      </c>
      <c r="BB143">
        <v>-13.3</v>
      </c>
      <c r="BC143">
        <v>-14.1</v>
      </c>
      <c r="BD143">
        <v>-14.7</v>
      </c>
      <c r="BE143">
        <v>-15.1</v>
      </c>
      <c r="BF143">
        <v>-15.3</v>
      </c>
      <c r="BG143">
        <v>-15.3</v>
      </c>
      <c r="BH143">
        <v>-15.1</v>
      </c>
      <c r="BI143">
        <v>-14.6</v>
      </c>
      <c r="BJ143">
        <v>-13.9</v>
      </c>
      <c r="BK143">
        <v>-12.9</v>
      </c>
      <c r="BL143">
        <v>-11.7</v>
      </c>
      <c r="BM143">
        <v>-10.3</v>
      </c>
      <c r="BN143">
        <v>-8.65</v>
      </c>
      <c r="BO143">
        <v>-6.77</v>
      </c>
      <c r="BP143">
        <v>-4.72</v>
      </c>
      <c r="BQ143">
        <v>-2.4700000000000002</v>
      </c>
      <c r="BR143">
        <v>-7.1999999999999995E-2</v>
      </c>
      <c r="BS143">
        <v>2.46</v>
      </c>
      <c r="BT143">
        <v>5.12</v>
      </c>
      <c r="BU143">
        <v>7.87</v>
      </c>
      <c r="BV143">
        <v>10.7</v>
      </c>
      <c r="BW143">
        <v>13.5</v>
      </c>
      <c r="BX143">
        <v>16.399999999999999</v>
      </c>
      <c r="BY143">
        <v>19.3</v>
      </c>
      <c r="BZ143">
        <v>22</v>
      </c>
      <c r="CA143">
        <v>24.7</v>
      </c>
      <c r="CB143">
        <v>27.3</v>
      </c>
      <c r="CC143">
        <v>29.8</v>
      </c>
      <c r="CD143">
        <v>32.1</v>
      </c>
      <c r="CE143">
        <v>34.200000000000003</v>
      </c>
      <c r="CF143">
        <v>36.1</v>
      </c>
      <c r="CG143">
        <v>37.9</v>
      </c>
      <c r="CH143">
        <v>39.4</v>
      </c>
      <c r="CI143">
        <v>40.799999999999997</v>
      </c>
      <c r="CJ143">
        <v>41.9</v>
      </c>
      <c r="CK143">
        <v>42.9</v>
      </c>
      <c r="CL143">
        <v>43.7</v>
      </c>
      <c r="CM143">
        <v>44.4</v>
      </c>
      <c r="CN143">
        <v>44.9</v>
      </c>
      <c r="CO143">
        <v>45.2</v>
      </c>
      <c r="CP143">
        <v>45.5</v>
      </c>
      <c r="CQ143">
        <v>45.7</v>
      </c>
      <c r="CR143">
        <v>45.8</v>
      </c>
      <c r="CS143">
        <v>45.9</v>
      </c>
      <c r="CT143">
        <v>46</v>
      </c>
      <c r="CU143">
        <v>46</v>
      </c>
      <c r="CV143">
        <v>46</v>
      </c>
      <c r="CW143">
        <v>46</v>
      </c>
      <c r="CX143">
        <v>46</v>
      </c>
      <c r="CY143">
        <v>46</v>
      </c>
      <c r="CZ143">
        <v>45.9</v>
      </c>
      <c r="DA143">
        <v>45.7</v>
      </c>
      <c r="DB143">
        <v>45.6</v>
      </c>
    </row>
    <row r="144" spans="1:106" x14ac:dyDescent="0.25">
      <c r="A144" s="59"/>
      <c r="B144" s="59"/>
      <c r="C144" t="s">
        <v>54</v>
      </c>
      <c r="D144">
        <v>9</v>
      </c>
      <c r="E144" t="s">
        <v>2</v>
      </c>
      <c r="F144">
        <v>14.9</v>
      </c>
      <c r="G144">
        <v>16.100000000000001</v>
      </c>
      <c r="H144">
        <v>17.5</v>
      </c>
      <c r="I144">
        <v>19.3</v>
      </c>
      <c r="J144">
        <v>21.2</v>
      </c>
      <c r="K144">
        <v>23.2</v>
      </c>
      <c r="L144">
        <v>25.1</v>
      </c>
      <c r="M144">
        <v>26.7</v>
      </c>
      <c r="N144">
        <v>28.1</v>
      </c>
      <c r="O144">
        <v>29</v>
      </c>
      <c r="P144">
        <v>29.7</v>
      </c>
      <c r="Q144">
        <v>30</v>
      </c>
      <c r="R144">
        <v>30</v>
      </c>
      <c r="S144">
        <v>29.7</v>
      </c>
      <c r="T144">
        <v>29.1</v>
      </c>
      <c r="U144">
        <v>28.3</v>
      </c>
      <c r="V144">
        <v>27.3</v>
      </c>
      <c r="W144">
        <v>26.1</v>
      </c>
      <c r="X144">
        <v>24.8</v>
      </c>
      <c r="Y144">
        <v>23.3</v>
      </c>
      <c r="Z144">
        <v>21.7</v>
      </c>
      <c r="AA144">
        <v>20.100000000000001</v>
      </c>
      <c r="AB144">
        <v>18.5</v>
      </c>
      <c r="AC144">
        <v>16.899999999999999</v>
      </c>
      <c r="AD144">
        <v>15.3</v>
      </c>
      <c r="AE144">
        <v>13.8</v>
      </c>
      <c r="AF144">
        <v>12.3</v>
      </c>
      <c r="AG144">
        <v>10.8</v>
      </c>
      <c r="AH144">
        <v>9.41</v>
      </c>
      <c r="AI144">
        <v>8.06</v>
      </c>
      <c r="AJ144">
        <v>6.78</v>
      </c>
      <c r="AK144">
        <v>5.59</v>
      </c>
      <c r="AL144">
        <v>4.51</v>
      </c>
      <c r="AM144">
        <v>3.6</v>
      </c>
      <c r="AN144">
        <v>2.8</v>
      </c>
      <c r="AO144">
        <v>2.11</v>
      </c>
      <c r="AP144">
        <v>1.53</v>
      </c>
      <c r="AQ144">
        <v>1.03</v>
      </c>
      <c r="AR144">
        <v>0.59</v>
      </c>
      <c r="AS144">
        <v>0.24</v>
      </c>
      <c r="AT144">
        <v>-5.8999999999999997E-2</v>
      </c>
      <c r="AU144">
        <v>-0.28000000000000003</v>
      </c>
      <c r="AV144">
        <v>-0.39</v>
      </c>
      <c r="AW144">
        <v>-0.42</v>
      </c>
      <c r="AX144">
        <v>-0.31</v>
      </c>
      <c r="AY144">
        <v>-5.0999999999999997E-2</v>
      </c>
      <c r="AZ144">
        <v>0.36</v>
      </c>
      <c r="BA144">
        <v>0.95</v>
      </c>
      <c r="BB144">
        <v>1.76</v>
      </c>
      <c r="BC144">
        <v>2.78</v>
      </c>
      <c r="BD144">
        <v>4.03</v>
      </c>
      <c r="BE144">
        <v>5.57</v>
      </c>
      <c r="BF144">
        <v>7.38</v>
      </c>
      <c r="BG144">
        <v>9.48</v>
      </c>
      <c r="BH144">
        <v>11.9</v>
      </c>
      <c r="BI144">
        <v>14.7</v>
      </c>
      <c r="BJ144">
        <v>17.7</v>
      </c>
      <c r="BK144">
        <v>21</v>
      </c>
      <c r="BL144">
        <v>24.6</v>
      </c>
      <c r="BM144">
        <v>28.4</v>
      </c>
      <c r="BN144">
        <v>32.4</v>
      </c>
      <c r="BO144">
        <v>36.5</v>
      </c>
      <c r="BP144">
        <v>40.6</v>
      </c>
      <c r="BQ144">
        <v>44.6</v>
      </c>
      <c r="BR144">
        <v>48.5</v>
      </c>
      <c r="BS144">
        <v>52.3</v>
      </c>
      <c r="BT144">
        <v>55.8</v>
      </c>
      <c r="BU144">
        <v>59.1</v>
      </c>
      <c r="BV144">
        <v>62</v>
      </c>
      <c r="BW144">
        <v>64.5</v>
      </c>
      <c r="BX144">
        <v>66.7</v>
      </c>
      <c r="BY144">
        <v>68.400000000000006</v>
      </c>
      <c r="BZ144">
        <v>69.7</v>
      </c>
      <c r="CA144">
        <v>70.7</v>
      </c>
      <c r="CB144">
        <v>71.2</v>
      </c>
      <c r="CC144">
        <v>71.400000000000006</v>
      </c>
      <c r="CD144">
        <v>71.2</v>
      </c>
      <c r="CE144">
        <v>70.5</v>
      </c>
      <c r="CF144">
        <v>69.5</v>
      </c>
      <c r="CG144">
        <v>68</v>
      </c>
      <c r="CH144">
        <v>66.2</v>
      </c>
      <c r="CI144">
        <v>64</v>
      </c>
      <c r="CJ144">
        <v>61.4</v>
      </c>
      <c r="CK144">
        <v>58.4</v>
      </c>
      <c r="CL144">
        <v>55</v>
      </c>
      <c r="CM144">
        <v>51.4</v>
      </c>
      <c r="CN144">
        <v>47.5</v>
      </c>
      <c r="CO144">
        <v>43.6</v>
      </c>
      <c r="CP144">
        <v>39.6</v>
      </c>
      <c r="CQ144">
        <v>35.799999999999997</v>
      </c>
      <c r="CR144">
        <v>32.1</v>
      </c>
      <c r="CS144">
        <v>28.8</v>
      </c>
      <c r="CT144">
        <v>25.8</v>
      </c>
      <c r="CU144">
        <v>23.1</v>
      </c>
      <c r="CV144">
        <v>20.9</v>
      </c>
      <c r="CW144">
        <v>19.100000000000001</v>
      </c>
      <c r="CX144">
        <v>17.8</v>
      </c>
      <c r="CY144">
        <v>16.899999999999999</v>
      </c>
      <c r="CZ144">
        <v>16.7</v>
      </c>
      <c r="DA144">
        <v>17</v>
      </c>
      <c r="DB144">
        <v>17.600000000000001</v>
      </c>
    </row>
    <row r="145" spans="1:106" x14ac:dyDescent="0.25">
      <c r="A145" s="59"/>
      <c r="B145" s="59"/>
      <c r="C145" t="s">
        <v>55</v>
      </c>
      <c r="D145">
        <v>9</v>
      </c>
      <c r="E145" t="s">
        <v>2</v>
      </c>
      <c r="F145">
        <v>0.87</v>
      </c>
      <c r="G145">
        <v>-0.11</v>
      </c>
      <c r="H145">
        <v>-0.77</v>
      </c>
      <c r="I145">
        <v>-1.1000000000000001</v>
      </c>
      <c r="J145">
        <v>-0.88</v>
      </c>
      <c r="K145">
        <v>-0.26</v>
      </c>
      <c r="L145">
        <v>0.66</v>
      </c>
      <c r="M145">
        <v>1.88</v>
      </c>
      <c r="N145">
        <v>3.23</v>
      </c>
      <c r="O145">
        <v>4.66</v>
      </c>
      <c r="P145">
        <v>6.11</v>
      </c>
      <c r="Q145">
        <v>7.45</v>
      </c>
      <c r="R145">
        <v>8.69</v>
      </c>
      <c r="S145">
        <v>9.77</v>
      </c>
      <c r="T145">
        <v>10.7</v>
      </c>
      <c r="U145">
        <v>11.4</v>
      </c>
      <c r="V145">
        <v>12</v>
      </c>
      <c r="W145">
        <v>12.5</v>
      </c>
      <c r="X145">
        <v>12.8</v>
      </c>
      <c r="Y145">
        <v>13</v>
      </c>
      <c r="Z145">
        <v>13.2</v>
      </c>
      <c r="AA145">
        <v>13.2</v>
      </c>
      <c r="AB145">
        <v>13.3</v>
      </c>
      <c r="AC145">
        <v>13.3</v>
      </c>
      <c r="AD145">
        <v>13.3</v>
      </c>
      <c r="AE145">
        <v>13.2</v>
      </c>
      <c r="AF145">
        <v>13.2</v>
      </c>
      <c r="AG145">
        <v>13.1</v>
      </c>
      <c r="AH145">
        <v>13</v>
      </c>
      <c r="AI145">
        <v>12.9</v>
      </c>
      <c r="AJ145">
        <v>12.8</v>
      </c>
      <c r="AK145">
        <v>12.7</v>
      </c>
      <c r="AL145">
        <v>12.6</v>
      </c>
      <c r="AM145">
        <v>12.5</v>
      </c>
      <c r="AN145">
        <v>12.3</v>
      </c>
      <c r="AO145">
        <v>12.2</v>
      </c>
      <c r="AP145">
        <v>12.1</v>
      </c>
      <c r="AQ145">
        <v>12.1</v>
      </c>
      <c r="AR145">
        <v>12.1</v>
      </c>
      <c r="AS145">
        <v>12.1</v>
      </c>
      <c r="AT145">
        <v>12.1</v>
      </c>
      <c r="AU145">
        <v>12.1</v>
      </c>
      <c r="AV145">
        <v>12.1</v>
      </c>
      <c r="AW145">
        <v>12.1</v>
      </c>
      <c r="AX145">
        <v>12</v>
      </c>
      <c r="AY145">
        <v>11.9</v>
      </c>
      <c r="AZ145">
        <v>11.7</v>
      </c>
      <c r="BA145">
        <v>11.3</v>
      </c>
      <c r="BB145">
        <v>10.7</v>
      </c>
      <c r="BC145">
        <v>9.98</v>
      </c>
      <c r="BD145">
        <v>8.99</v>
      </c>
      <c r="BE145">
        <v>7.64</v>
      </c>
      <c r="BF145">
        <v>5.98</v>
      </c>
      <c r="BG145">
        <v>4</v>
      </c>
      <c r="BH145">
        <v>1.66</v>
      </c>
      <c r="BI145">
        <v>-0.9</v>
      </c>
      <c r="BJ145">
        <v>-3.61</v>
      </c>
      <c r="BK145">
        <v>-6.34</v>
      </c>
      <c r="BL145">
        <v>-8.8800000000000008</v>
      </c>
      <c r="BM145">
        <v>-11.2</v>
      </c>
      <c r="BN145">
        <v>-13</v>
      </c>
      <c r="BO145">
        <v>-14.3</v>
      </c>
      <c r="BP145">
        <v>-15.2</v>
      </c>
      <c r="BQ145">
        <v>-15.5</v>
      </c>
      <c r="BR145">
        <v>-15.3</v>
      </c>
      <c r="BS145">
        <v>-14.7</v>
      </c>
      <c r="BT145">
        <v>-13.8</v>
      </c>
      <c r="BU145">
        <v>-12.6</v>
      </c>
      <c r="BV145">
        <v>-11.2</v>
      </c>
      <c r="BW145">
        <v>-9.65</v>
      </c>
      <c r="BX145">
        <v>-8.0500000000000007</v>
      </c>
      <c r="BY145">
        <v>-6.45</v>
      </c>
      <c r="BZ145">
        <v>-4.88</v>
      </c>
      <c r="CA145">
        <v>-3.41</v>
      </c>
      <c r="CB145">
        <v>-2.06</v>
      </c>
      <c r="CC145">
        <v>-0.85</v>
      </c>
      <c r="CD145">
        <v>0.22</v>
      </c>
      <c r="CE145">
        <v>1.1100000000000001</v>
      </c>
      <c r="CF145">
        <v>1.85</v>
      </c>
      <c r="CG145">
        <v>2.4300000000000002</v>
      </c>
      <c r="CH145">
        <v>2.87</v>
      </c>
      <c r="CI145">
        <v>3.19</v>
      </c>
      <c r="CJ145">
        <v>3.42</v>
      </c>
      <c r="CK145">
        <v>3.58</v>
      </c>
      <c r="CL145">
        <v>3.71</v>
      </c>
      <c r="CM145">
        <v>3.85</v>
      </c>
      <c r="CN145">
        <v>4.01</v>
      </c>
      <c r="CO145">
        <v>4.24</v>
      </c>
      <c r="CP145">
        <v>4.55</v>
      </c>
      <c r="CQ145">
        <v>4.9400000000000004</v>
      </c>
      <c r="CR145">
        <v>5.37</v>
      </c>
      <c r="CS145">
        <v>5.82</v>
      </c>
      <c r="CT145">
        <v>6.22</v>
      </c>
      <c r="CU145">
        <v>6.51</v>
      </c>
      <c r="CV145">
        <v>6.64</v>
      </c>
      <c r="CW145">
        <v>6.52</v>
      </c>
      <c r="CX145">
        <v>6.18</v>
      </c>
      <c r="CY145">
        <v>5.57</v>
      </c>
      <c r="CZ145">
        <v>4.6900000000000004</v>
      </c>
      <c r="DA145">
        <v>3.71</v>
      </c>
      <c r="DB145">
        <v>2.64</v>
      </c>
    </row>
    <row r="146" spans="1:106" x14ac:dyDescent="0.25">
      <c r="A146" s="59"/>
      <c r="B146" s="59"/>
      <c r="C146" t="s">
        <v>56</v>
      </c>
      <c r="D146">
        <v>9</v>
      </c>
      <c r="E146" t="s">
        <v>2</v>
      </c>
      <c r="F146">
        <v>1.81</v>
      </c>
      <c r="G146">
        <v>1.96</v>
      </c>
      <c r="H146">
        <v>2.15</v>
      </c>
      <c r="I146">
        <v>2.37</v>
      </c>
      <c r="J146">
        <v>2.63</v>
      </c>
      <c r="K146">
        <v>2.92</v>
      </c>
      <c r="L146">
        <v>3.22</v>
      </c>
      <c r="M146">
        <v>3.55</v>
      </c>
      <c r="N146">
        <v>3.87</v>
      </c>
      <c r="O146">
        <v>4.1900000000000004</v>
      </c>
      <c r="P146">
        <v>4.4800000000000004</v>
      </c>
      <c r="Q146">
        <v>4.75</v>
      </c>
      <c r="R146">
        <v>4.97</v>
      </c>
      <c r="S146">
        <v>5.15</v>
      </c>
      <c r="T146">
        <v>5.27</v>
      </c>
      <c r="U146">
        <v>5.32</v>
      </c>
      <c r="V146">
        <v>5.32</v>
      </c>
      <c r="W146">
        <v>5.24</v>
      </c>
      <c r="X146">
        <v>5.0999999999999996</v>
      </c>
      <c r="Y146">
        <v>4.9000000000000004</v>
      </c>
      <c r="Z146">
        <v>4.63</v>
      </c>
      <c r="AA146">
        <v>4.3099999999999996</v>
      </c>
      <c r="AB146">
        <v>3.94</v>
      </c>
      <c r="AC146">
        <v>3.53</v>
      </c>
      <c r="AD146">
        <v>3.09</v>
      </c>
      <c r="AE146">
        <v>2.61</v>
      </c>
      <c r="AF146">
        <v>2.12</v>
      </c>
      <c r="AG146">
        <v>1.62</v>
      </c>
      <c r="AH146">
        <v>1.1299999999999999</v>
      </c>
      <c r="AI146">
        <v>0.64</v>
      </c>
      <c r="AJ146">
        <v>0.17</v>
      </c>
      <c r="AK146">
        <v>-0.27</v>
      </c>
      <c r="AL146">
        <v>-0.68</v>
      </c>
      <c r="AM146">
        <v>-1.05</v>
      </c>
      <c r="AN146">
        <v>-1.38</v>
      </c>
      <c r="AO146">
        <v>-1.67</v>
      </c>
      <c r="AP146">
        <v>-1.91</v>
      </c>
      <c r="AQ146">
        <v>-2.11</v>
      </c>
      <c r="AR146">
        <v>-2.2599999999999998</v>
      </c>
      <c r="AS146">
        <v>-2.38</v>
      </c>
      <c r="AT146">
        <v>-2.46</v>
      </c>
      <c r="AU146">
        <v>-2.5099999999999998</v>
      </c>
      <c r="AV146">
        <v>-2.5299999999999998</v>
      </c>
      <c r="AW146">
        <v>-2.5299999999999998</v>
      </c>
      <c r="AX146">
        <v>-2.52</v>
      </c>
      <c r="AY146">
        <v>-2.5099999999999998</v>
      </c>
      <c r="AZ146">
        <v>-2.5</v>
      </c>
      <c r="BA146">
        <v>-2.5</v>
      </c>
      <c r="BB146">
        <v>-2.5099999999999998</v>
      </c>
      <c r="BC146">
        <v>-2.54</v>
      </c>
      <c r="BD146">
        <v>-2.59</v>
      </c>
      <c r="BE146">
        <v>-2.67</v>
      </c>
      <c r="BF146">
        <v>-2.79</v>
      </c>
      <c r="BG146">
        <v>-2.93</v>
      </c>
      <c r="BH146">
        <v>-3.12</v>
      </c>
      <c r="BI146">
        <v>-3.33</v>
      </c>
      <c r="BJ146">
        <v>-3.56</v>
      </c>
      <c r="BK146">
        <v>-3.82</v>
      </c>
      <c r="BL146">
        <v>-4.09</v>
      </c>
      <c r="BM146">
        <v>-4.3600000000000003</v>
      </c>
      <c r="BN146">
        <v>-4.63</v>
      </c>
      <c r="BO146">
        <v>-4.87</v>
      </c>
      <c r="BP146">
        <v>-5.0999999999999996</v>
      </c>
      <c r="BQ146">
        <v>-5.28</v>
      </c>
      <c r="BR146">
        <v>-5.42</v>
      </c>
      <c r="BS146">
        <v>-5.5</v>
      </c>
      <c r="BT146">
        <v>-5.53</v>
      </c>
      <c r="BU146">
        <v>-5.49</v>
      </c>
      <c r="BV146">
        <v>-5.39</v>
      </c>
      <c r="BW146">
        <v>-5.23</v>
      </c>
      <c r="BX146">
        <v>-5</v>
      </c>
      <c r="BY146">
        <v>-4.72</v>
      </c>
      <c r="BZ146">
        <v>-4.3899999999999997</v>
      </c>
      <c r="CA146">
        <v>-4.0199999999999996</v>
      </c>
      <c r="CB146">
        <v>-3.61</v>
      </c>
      <c r="CC146">
        <v>-3.18</v>
      </c>
      <c r="CD146">
        <v>-2.73</v>
      </c>
      <c r="CE146">
        <v>-2.27</v>
      </c>
      <c r="CF146">
        <v>-1.81</v>
      </c>
      <c r="CG146">
        <v>-1.37</v>
      </c>
      <c r="CH146">
        <v>-0.95</v>
      </c>
      <c r="CI146">
        <v>-0.55000000000000004</v>
      </c>
      <c r="CJ146">
        <v>-0.19</v>
      </c>
      <c r="CK146">
        <v>0.13</v>
      </c>
      <c r="CL146">
        <v>0.41</v>
      </c>
      <c r="CM146">
        <v>0.65</v>
      </c>
      <c r="CN146">
        <v>0.84</v>
      </c>
      <c r="CO146">
        <v>0.98</v>
      </c>
      <c r="CP146">
        <v>1.0900000000000001</v>
      </c>
      <c r="CQ146">
        <v>1.1599999999999999</v>
      </c>
      <c r="CR146">
        <v>1.21</v>
      </c>
      <c r="CS146">
        <v>1.23</v>
      </c>
      <c r="CT146">
        <v>1.23</v>
      </c>
      <c r="CU146">
        <v>1.22</v>
      </c>
      <c r="CV146">
        <v>1.21</v>
      </c>
      <c r="CW146">
        <v>1.2</v>
      </c>
      <c r="CX146">
        <v>1.2</v>
      </c>
      <c r="CY146">
        <v>1.22</v>
      </c>
      <c r="CZ146">
        <v>1.27</v>
      </c>
      <c r="DA146">
        <v>1.35</v>
      </c>
      <c r="DB146">
        <v>1.44</v>
      </c>
    </row>
    <row r="147" spans="1:106" x14ac:dyDescent="0.25">
      <c r="A147" s="59"/>
      <c r="B147" s="59"/>
      <c r="C147" t="s">
        <v>57</v>
      </c>
      <c r="D147">
        <v>9</v>
      </c>
      <c r="E147" t="s">
        <v>2</v>
      </c>
      <c r="F147">
        <v>-1.17</v>
      </c>
      <c r="G147">
        <v>-0.23</v>
      </c>
      <c r="H147">
        <v>0.74</v>
      </c>
      <c r="I147">
        <v>1.74</v>
      </c>
      <c r="J147">
        <v>2.75</v>
      </c>
      <c r="K147">
        <v>3.73</v>
      </c>
      <c r="L147">
        <v>4.67</v>
      </c>
      <c r="M147">
        <v>5.56</v>
      </c>
      <c r="N147">
        <v>6.37</v>
      </c>
      <c r="O147">
        <v>7.11</v>
      </c>
      <c r="P147">
        <v>7.79</v>
      </c>
      <c r="Q147">
        <v>8.4</v>
      </c>
      <c r="R147">
        <v>8.9499999999999993</v>
      </c>
      <c r="S147">
        <v>9.43</v>
      </c>
      <c r="T147">
        <v>9.84</v>
      </c>
      <c r="U147">
        <v>10.199999999999999</v>
      </c>
      <c r="V147">
        <v>10.5</v>
      </c>
      <c r="W147">
        <v>10.7</v>
      </c>
      <c r="X147">
        <v>10.9</v>
      </c>
      <c r="Y147">
        <v>11</v>
      </c>
      <c r="Z147">
        <v>11.1</v>
      </c>
      <c r="AA147">
        <v>11.1</v>
      </c>
      <c r="AB147">
        <v>11.1</v>
      </c>
      <c r="AC147">
        <v>11</v>
      </c>
      <c r="AD147">
        <v>10.8</v>
      </c>
      <c r="AE147">
        <v>10.6</v>
      </c>
      <c r="AF147">
        <v>10.3</v>
      </c>
      <c r="AG147">
        <v>9.92</v>
      </c>
      <c r="AH147">
        <v>9.52</v>
      </c>
      <c r="AI147">
        <v>9.07</v>
      </c>
      <c r="AJ147">
        <v>8.6</v>
      </c>
      <c r="AK147">
        <v>8.11</v>
      </c>
      <c r="AL147">
        <v>7.61</v>
      </c>
      <c r="AM147">
        <v>7.12</v>
      </c>
      <c r="AN147">
        <v>6.66</v>
      </c>
      <c r="AO147">
        <v>6.23</v>
      </c>
      <c r="AP147">
        <v>5.85</v>
      </c>
      <c r="AQ147">
        <v>5.52</v>
      </c>
      <c r="AR147">
        <v>5.23</v>
      </c>
      <c r="AS147">
        <v>4.9800000000000004</v>
      </c>
      <c r="AT147">
        <v>4.76</v>
      </c>
      <c r="AU147">
        <v>4.55</v>
      </c>
      <c r="AV147">
        <v>4.3499999999999996</v>
      </c>
      <c r="AW147">
        <v>4.1399999999999997</v>
      </c>
      <c r="AX147">
        <v>3.91</v>
      </c>
      <c r="AY147">
        <v>3.65</v>
      </c>
      <c r="AZ147">
        <v>3.35</v>
      </c>
      <c r="BA147">
        <v>3.02</v>
      </c>
      <c r="BB147">
        <v>2.66</v>
      </c>
      <c r="BC147">
        <v>2.25</v>
      </c>
      <c r="BD147">
        <v>1.81</v>
      </c>
      <c r="BE147">
        <v>1.34</v>
      </c>
      <c r="BF147">
        <v>0.83</v>
      </c>
      <c r="BG147">
        <v>0.28000000000000003</v>
      </c>
      <c r="BH147">
        <v>-0.28999999999999998</v>
      </c>
      <c r="BI147">
        <v>-0.89</v>
      </c>
      <c r="BJ147">
        <v>-1.52</v>
      </c>
      <c r="BK147">
        <v>-2.16</v>
      </c>
      <c r="BL147">
        <v>-2.81</v>
      </c>
      <c r="BM147">
        <v>-3.46</v>
      </c>
      <c r="BN147">
        <v>-4.09</v>
      </c>
      <c r="BO147">
        <v>-4.6900000000000004</v>
      </c>
      <c r="BP147">
        <v>-5.26</v>
      </c>
      <c r="BQ147">
        <v>-5.76</v>
      </c>
      <c r="BR147">
        <v>-6.19</v>
      </c>
      <c r="BS147">
        <v>-6.54</v>
      </c>
      <c r="BT147">
        <v>-6.81</v>
      </c>
      <c r="BU147">
        <v>-6.99</v>
      </c>
      <c r="BV147">
        <v>-7.08</v>
      </c>
      <c r="BW147">
        <v>-7.11</v>
      </c>
      <c r="BX147">
        <v>-7.07</v>
      </c>
      <c r="BY147">
        <v>-6.97</v>
      </c>
      <c r="BZ147">
        <v>-6.83</v>
      </c>
      <c r="CA147">
        <v>-6.65</v>
      </c>
      <c r="CB147">
        <v>-6.45</v>
      </c>
      <c r="CC147">
        <v>-6.25</v>
      </c>
      <c r="CD147">
        <v>-6.04</v>
      </c>
      <c r="CE147">
        <v>-5.85</v>
      </c>
      <c r="CF147">
        <v>-5.69</v>
      </c>
      <c r="CG147">
        <v>-5.56</v>
      </c>
      <c r="CH147">
        <v>-5.48</v>
      </c>
      <c r="CI147">
        <v>-5.44</v>
      </c>
      <c r="CJ147">
        <v>-5.44</v>
      </c>
      <c r="CK147">
        <v>-5.47</v>
      </c>
      <c r="CL147">
        <v>-5.53</v>
      </c>
      <c r="CM147">
        <v>-5.6</v>
      </c>
      <c r="CN147">
        <v>-5.66</v>
      </c>
      <c r="CO147">
        <v>-5.7</v>
      </c>
      <c r="CP147">
        <v>-5.7</v>
      </c>
      <c r="CQ147">
        <v>-5.63</v>
      </c>
      <c r="CR147">
        <v>-5.51</v>
      </c>
      <c r="CS147">
        <v>-5.33</v>
      </c>
      <c r="CT147">
        <v>-5.09</v>
      </c>
      <c r="CU147">
        <v>-4.79</v>
      </c>
      <c r="CV147">
        <v>-4.4400000000000004</v>
      </c>
      <c r="CW147">
        <v>-4.03</v>
      </c>
      <c r="CX147">
        <v>-3.55</v>
      </c>
      <c r="CY147">
        <v>-3</v>
      </c>
      <c r="CZ147">
        <v>-2.33</v>
      </c>
      <c r="DA147">
        <v>-1.58</v>
      </c>
      <c r="DB147">
        <v>-0.76</v>
      </c>
    </row>
    <row r="148" spans="1:106" x14ac:dyDescent="0.25">
      <c r="A148" s="59"/>
      <c r="B148" s="59"/>
      <c r="C148" t="s">
        <v>58</v>
      </c>
      <c r="D148">
        <v>9</v>
      </c>
      <c r="E148" t="s">
        <v>2</v>
      </c>
      <c r="F148">
        <v>-5.44</v>
      </c>
      <c r="G148">
        <v>-5.83</v>
      </c>
      <c r="H148">
        <v>-6.08</v>
      </c>
      <c r="I148">
        <v>-6.17</v>
      </c>
      <c r="J148">
        <v>-5.94</v>
      </c>
      <c r="K148">
        <v>-5.47</v>
      </c>
      <c r="L148">
        <v>-4.78</v>
      </c>
      <c r="M148">
        <v>-3.93</v>
      </c>
      <c r="N148">
        <v>-3.13</v>
      </c>
      <c r="O148">
        <v>-2.4700000000000002</v>
      </c>
      <c r="P148">
        <v>-2.0699999999999998</v>
      </c>
      <c r="Q148">
        <v>-2.0499999999999998</v>
      </c>
      <c r="R148">
        <v>-2.31</v>
      </c>
      <c r="S148">
        <v>-2.8</v>
      </c>
      <c r="T148">
        <v>-3.39</v>
      </c>
      <c r="U148">
        <v>-3.96</v>
      </c>
      <c r="V148">
        <v>-4.47</v>
      </c>
      <c r="W148">
        <v>-4.8600000000000003</v>
      </c>
      <c r="X148">
        <v>-5.08</v>
      </c>
      <c r="Y148">
        <v>-5.23</v>
      </c>
      <c r="Z148">
        <v>-5.3</v>
      </c>
      <c r="AA148">
        <v>-5.35</v>
      </c>
      <c r="AB148">
        <v>-5.43</v>
      </c>
      <c r="AC148">
        <v>-5.53</v>
      </c>
      <c r="AD148">
        <v>-5.68</v>
      </c>
      <c r="AE148">
        <v>-5.88</v>
      </c>
      <c r="AF148">
        <v>-6.09</v>
      </c>
      <c r="AG148">
        <v>-6.28</v>
      </c>
      <c r="AH148">
        <v>-6.44</v>
      </c>
      <c r="AI148">
        <v>-6.5</v>
      </c>
      <c r="AJ148">
        <v>-6.47</v>
      </c>
      <c r="AK148">
        <v>-6.35</v>
      </c>
      <c r="AL148">
        <v>-6.15</v>
      </c>
      <c r="AM148">
        <v>-5.89</v>
      </c>
      <c r="AN148">
        <v>-5.63</v>
      </c>
      <c r="AO148">
        <v>-5.4</v>
      </c>
      <c r="AP148">
        <v>-5.21</v>
      </c>
      <c r="AQ148">
        <v>-5.1100000000000003</v>
      </c>
      <c r="AR148">
        <v>-5.07</v>
      </c>
      <c r="AS148">
        <v>-5.09</v>
      </c>
      <c r="AT148">
        <v>-5.16</v>
      </c>
      <c r="AU148">
        <v>-5.25</v>
      </c>
      <c r="AV148">
        <v>-5.36</v>
      </c>
      <c r="AW148">
        <v>-5.46</v>
      </c>
      <c r="AX148">
        <v>-5.55</v>
      </c>
      <c r="AY148">
        <v>-5.62</v>
      </c>
      <c r="AZ148">
        <v>-5.67</v>
      </c>
      <c r="BA148">
        <v>-5.71</v>
      </c>
      <c r="BB148">
        <v>-5.75</v>
      </c>
      <c r="BC148">
        <v>-5.78</v>
      </c>
      <c r="BD148">
        <v>-5.82</v>
      </c>
      <c r="BE148">
        <v>-5.86</v>
      </c>
      <c r="BF148">
        <v>-5.9</v>
      </c>
      <c r="BG148">
        <v>-5.93</v>
      </c>
      <c r="BH148">
        <v>-5.92</v>
      </c>
      <c r="BI148">
        <v>-5.86</v>
      </c>
      <c r="BJ148">
        <v>-5.74</v>
      </c>
      <c r="BK148">
        <v>-5.51</v>
      </c>
      <c r="BL148">
        <v>-5.19</v>
      </c>
      <c r="BM148">
        <v>-4.79</v>
      </c>
      <c r="BN148">
        <v>-4.3</v>
      </c>
      <c r="BO148">
        <v>-3.82</v>
      </c>
      <c r="BP148">
        <v>-3.35</v>
      </c>
      <c r="BQ148">
        <v>-3</v>
      </c>
      <c r="BR148">
        <v>-2.83</v>
      </c>
      <c r="BS148">
        <v>-2.82</v>
      </c>
      <c r="BT148">
        <v>-3.1</v>
      </c>
      <c r="BU148">
        <v>-3.6</v>
      </c>
      <c r="BV148">
        <v>-4.24</v>
      </c>
      <c r="BW148">
        <v>-4.99</v>
      </c>
      <c r="BX148">
        <v>-5.77</v>
      </c>
      <c r="BY148">
        <v>-6.43</v>
      </c>
      <c r="BZ148">
        <v>-6.93</v>
      </c>
      <c r="CA148">
        <v>-7.24</v>
      </c>
      <c r="CB148">
        <v>-7.23</v>
      </c>
      <c r="CC148">
        <v>-6.95</v>
      </c>
      <c r="CD148">
        <v>-6.39</v>
      </c>
      <c r="CE148">
        <v>-5.49</v>
      </c>
      <c r="CF148">
        <v>-4.33</v>
      </c>
      <c r="CG148">
        <v>-2.94</v>
      </c>
      <c r="CH148">
        <v>-1.39</v>
      </c>
      <c r="CI148">
        <v>0.26</v>
      </c>
      <c r="CJ148">
        <v>1.9</v>
      </c>
      <c r="CK148">
        <v>3.41</v>
      </c>
      <c r="CL148">
        <v>4.7</v>
      </c>
      <c r="CM148">
        <v>5.63</v>
      </c>
      <c r="CN148">
        <v>6.15</v>
      </c>
      <c r="CO148">
        <v>6.21</v>
      </c>
      <c r="CP148">
        <v>5.77</v>
      </c>
      <c r="CQ148">
        <v>4.93</v>
      </c>
      <c r="CR148">
        <v>3.77</v>
      </c>
      <c r="CS148">
        <v>2.37</v>
      </c>
      <c r="CT148">
        <v>0.93</v>
      </c>
      <c r="CU148">
        <v>-0.49</v>
      </c>
      <c r="CV148">
        <v>-1.77</v>
      </c>
      <c r="CW148">
        <v>-2.87</v>
      </c>
      <c r="CX148">
        <v>-3.82</v>
      </c>
      <c r="CY148">
        <v>-4.6399999999999997</v>
      </c>
      <c r="CZ148">
        <v>-5.34</v>
      </c>
      <c r="DA148">
        <v>-5.98</v>
      </c>
      <c r="DB148">
        <v>-6.56</v>
      </c>
    </row>
    <row r="149" spans="1:106" x14ac:dyDescent="0.25">
      <c r="A149" s="59"/>
      <c r="B149" s="59"/>
      <c r="C149" t="s">
        <v>59</v>
      </c>
      <c r="D149">
        <v>9</v>
      </c>
      <c r="E149" t="s">
        <v>2</v>
      </c>
      <c r="F149">
        <v>7.77</v>
      </c>
      <c r="G149">
        <v>7.54</v>
      </c>
      <c r="H149">
        <v>7.28</v>
      </c>
      <c r="I149">
        <v>6.98</v>
      </c>
      <c r="J149">
        <v>6.64</v>
      </c>
      <c r="K149">
        <v>6.28</v>
      </c>
      <c r="L149">
        <v>5.9</v>
      </c>
      <c r="M149">
        <v>5.51</v>
      </c>
      <c r="N149">
        <v>5.0999999999999996</v>
      </c>
      <c r="O149">
        <v>4.7</v>
      </c>
      <c r="P149">
        <v>4.3</v>
      </c>
      <c r="Q149">
        <v>3.9</v>
      </c>
      <c r="R149">
        <v>3.51</v>
      </c>
      <c r="S149">
        <v>3.13</v>
      </c>
      <c r="T149">
        <v>2.75</v>
      </c>
      <c r="U149">
        <v>2.38</v>
      </c>
      <c r="V149">
        <v>2.0099999999999998</v>
      </c>
      <c r="W149">
        <v>1.64</v>
      </c>
      <c r="X149">
        <v>1.28</v>
      </c>
      <c r="Y149">
        <v>0.91</v>
      </c>
      <c r="Z149">
        <v>0.54</v>
      </c>
      <c r="AA149">
        <v>0.17</v>
      </c>
      <c r="AB149">
        <v>-0.21</v>
      </c>
      <c r="AC149">
        <v>-0.6</v>
      </c>
      <c r="AD149">
        <v>-0.99</v>
      </c>
      <c r="AE149">
        <v>-1.39</v>
      </c>
      <c r="AF149">
        <v>-1.8</v>
      </c>
      <c r="AG149">
        <v>-2.2200000000000002</v>
      </c>
      <c r="AH149">
        <v>-2.65</v>
      </c>
      <c r="AI149">
        <v>-3.08</v>
      </c>
      <c r="AJ149">
        <v>-3.52</v>
      </c>
      <c r="AK149">
        <v>-3.96</v>
      </c>
      <c r="AL149">
        <v>-4.41</v>
      </c>
      <c r="AM149">
        <v>-4.8600000000000003</v>
      </c>
      <c r="AN149">
        <v>-5.3</v>
      </c>
      <c r="AO149">
        <v>-5.74</v>
      </c>
      <c r="AP149">
        <v>-6.17</v>
      </c>
      <c r="AQ149">
        <v>-6.59</v>
      </c>
      <c r="AR149">
        <v>-6.99</v>
      </c>
      <c r="AS149">
        <v>-7.36</v>
      </c>
      <c r="AT149">
        <v>-7.71</v>
      </c>
      <c r="AU149">
        <v>-8.0299999999999994</v>
      </c>
      <c r="AV149">
        <v>-8.31</v>
      </c>
      <c r="AW149">
        <v>-8.56</v>
      </c>
      <c r="AX149">
        <v>-8.77</v>
      </c>
      <c r="AY149">
        <v>-8.93</v>
      </c>
      <c r="AZ149">
        <v>-9.06</v>
      </c>
      <c r="BA149">
        <v>-9.14</v>
      </c>
      <c r="BB149">
        <v>-9.18</v>
      </c>
      <c r="BC149">
        <v>-9.18</v>
      </c>
      <c r="BD149">
        <v>-9.15</v>
      </c>
      <c r="BE149">
        <v>-9.07</v>
      </c>
      <c r="BF149">
        <v>-8.9600000000000009</v>
      </c>
      <c r="BG149">
        <v>-8.82</v>
      </c>
      <c r="BH149">
        <v>-8.64</v>
      </c>
      <c r="BI149">
        <v>-8.44</v>
      </c>
      <c r="BJ149">
        <v>-8.2100000000000009</v>
      </c>
      <c r="BK149">
        <v>-7.95</v>
      </c>
      <c r="BL149">
        <v>-7.68</v>
      </c>
      <c r="BM149">
        <v>-7.39</v>
      </c>
      <c r="BN149">
        <v>-7.09</v>
      </c>
      <c r="BO149">
        <v>-6.77</v>
      </c>
      <c r="BP149">
        <v>-6.43</v>
      </c>
      <c r="BQ149">
        <v>-6.09</v>
      </c>
      <c r="BR149">
        <v>-5.73</v>
      </c>
      <c r="BS149">
        <v>-5.37</v>
      </c>
      <c r="BT149">
        <v>-4.99</v>
      </c>
      <c r="BU149">
        <v>-4.5999999999999996</v>
      </c>
      <c r="BV149">
        <v>-4.21</v>
      </c>
      <c r="BW149">
        <v>-3.8</v>
      </c>
      <c r="BX149">
        <v>-3.39</v>
      </c>
      <c r="BY149">
        <v>-2.96</v>
      </c>
      <c r="BZ149">
        <v>-2.52</v>
      </c>
      <c r="CA149">
        <v>-2.08</v>
      </c>
      <c r="CB149">
        <v>-1.63</v>
      </c>
      <c r="CC149">
        <v>-1.17</v>
      </c>
      <c r="CD149">
        <v>-0.71</v>
      </c>
      <c r="CE149">
        <v>-0.23</v>
      </c>
      <c r="CF149">
        <v>0.25</v>
      </c>
      <c r="CG149">
        <v>0.74</v>
      </c>
      <c r="CH149">
        <v>1.24</v>
      </c>
      <c r="CI149">
        <v>1.73</v>
      </c>
      <c r="CJ149">
        <v>2.23</v>
      </c>
      <c r="CK149">
        <v>2.72</v>
      </c>
      <c r="CL149">
        <v>3.2</v>
      </c>
      <c r="CM149">
        <v>3.67</v>
      </c>
      <c r="CN149">
        <v>4.12</v>
      </c>
      <c r="CO149">
        <v>4.54</v>
      </c>
      <c r="CP149">
        <v>4.9400000000000004</v>
      </c>
      <c r="CQ149">
        <v>5.3</v>
      </c>
      <c r="CR149">
        <v>5.62</v>
      </c>
      <c r="CS149">
        <v>5.9</v>
      </c>
      <c r="CT149">
        <v>6.13</v>
      </c>
      <c r="CU149">
        <v>6.31</v>
      </c>
      <c r="CV149">
        <v>6.45</v>
      </c>
      <c r="CW149">
        <v>6.53</v>
      </c>
      <c r="CX149">
        <v>6.57</v>
      </c>
      <c r="CY149">
        <v>6.56</v>
      </c>
      <c r="CZ149">
        <v>6.5</v>
      </c>
      <c r="DA149">
        <v>6.41</v>
      </c>
      <c r="DB149">
        <v>6.28</v>
      </c>
    </row>
    <row r="150" spans="1:106" x14ac:dyDescent="0.25">
      <c r="A150" s="59"/>
      <c r="B150" s="59"/>
      <c r="C150" t="s">
        <v>60</v>
      </c>
      <c r="D150">
        <v>9</v>
      </c>
      <c r="E150" t="s">
        <v>2</v>
      </c>
      <c r="F150">
        <v>-16.899999999999999</v>
      </c>
      <c r="G150">
        <v>-16</v>
      </c>
      <c r="H150">
        <v>-14.7</v>
      </c>
      <c r="I150">
        <v>-13</v>
      </c>
      <c r="J150">
        <v>-10.8</v>
      </c>
      <c r="K150">
        <v>-8.5</v>
      </c>
      <c r="L150">
        <v>-6.09</v>
      </c>
      <c r="M150">
        <v>-3.84</v>
      </c>
      <c r="N150">
        <v>-2.06</v>
      </c>
      <c r="O150">
        <v>-0.82</v>
      </c>
      <c r="P150">
        <v>-0.27</v>
      </c>
      <c r="Q150">
        <v>-0.54</v>
      </c>
      <c r="R150">
        <v>-1.43</v>
      </c>
      <c r="S150">
        <v>-2.77</v>
      </c>
      <c r="T150">
        <v>-4.29</v>
      </c>
      <c r="U150">
        <v>-5.77</v>
      </c>
      <c r="V150">
        <v>-7.02</v>
      </c>
      <c r="W150">
        <v>-7.86</v>
      </c>
      <c r="X150">
        <v>-8.1199999999999992</v>
      </c>
      <c r="Y150">
        <v>-7.96</v>
      </c>
      <c r="Z150">
        <v>-7.44</v>
      </c>
      <c r="AA150">
        <v>-6.67</v>
      </c>
      <c r="AB150">
        <v>-5.8</v>
      </c>
      <c r="AC150">
        <v>-4.95</v>
      </c>
      <c r="AD150">
        <v>-4.26</v>
      </c>
      <c r="AE150">
        <v>-3.79</v>
      </c>
      <c r="AF150">
        <v>-3.53</v>
      </c>
      <c r="AG150">
        <v>-3.49</v>
      </c>
      <c r="AH150">
        <v>-3.67</v>
      </c>
      <c r="AI150">
        <v>-4.07</v>
      </c>
      <c r="AJ150">
        <v>-4.59</v>
      </c>
      <c r="AK150">
        <v>-5.15</v>
      </c>
      <c r="AL150">
        <v>-5.77</v>
      </c>
      <c r="AM150">
        <v>-6.35</v>
      </c>
      <c r="AN150">
        <v>-6.84</v>
      </c>
      <c r="AO150">
        <v>-7.22</v>
      </c>
      <c r="AP150">
        <v>-7.48</v>
      </c>
      <c r="AQ150">
        <v>-7.57</v>
      </c>
      <c r="AR150">
        <v>-7.56</v>
      </c>
      <c r="AS150">
        <v>-7.42</v>
      </c>
      <c r="AT150">
        <v>-7.21</v>
      </c>
      <c r="AU150">
        <v>-6.92</v>
      </c>
      <c r="AV150">
        <v>-6.6</v>
      </c>
      <c r="AW150">
        <v>-6.28</v>
      </c>
      <c r="AX150">
        <v>-5.99</v>
      </c>
      <c r="AY150">
        <v>-5.77</v>
      </c>
      <c r="AZ150">
        <v>-5.63</v>
      </c>
      <c r="BA150">
        <v>-5.54</v>
      </c>
      <c r="BB150">
        <v>-5.53</v>
      </c>
      <c r="BC150">
        <v>-5.57</v>
      </c>
      <c r="BD150">
        <v>-5.63</v>
      </c>
      <c r="BE150">
        <v>-5.69</v>
      </c>
      <c r="BF150">
        <v>-5.73</v>
      </c>
      <c r="BG150">
        <v>-5.72</v>
      </c>
      <c r="BH150">
        <v>-5.63</v>
      </c>
      <c r="BI150">
        <v>-5.46</v>
      </c>
      <c r="BJ150">
        <v>-5.21</v>
      </c>
      <c r="BK150">
        <v>-4.87</v>
      </c>
      <c r="BL150">
        <v>-4.4800000000000004</v>
      </c>
      <c r="BM150">
        <v>-4.04</v>
      </c>
      <c r="BN150">
        <v>-3.6</v>
      </c>
      <c r="BO150">
        <v>-3.25</v>
      </c>
      <c r="BP150">
        <v>-2.97</v>
      </c>
      <c r="BQ150">
        <v>-2.9</v>
      </c>
      <c r="BR150">
        <v>-3.05</v>
      </c>
      <c r="BS150">
        <v>-3.41</v>
      </c>
      <c r="BT150">
        <v>-4.05</v>
      </c>
      <c r="BU150">
        <v>-4.91</v>
      </c>
      <c r="BV150">
        <v>-5.91</v>
      </c>
      <c r="BW150">
        <v>-7</v>
      </c>
      <c r="BX150">
        <v>-8.1199999999999992</v>
      </c>
      <c r="BY150">
        <v>-9.14</v>
      </c>
      <c r="BZ150">
        <v>-10</v>
      </c>
      <c r="CA150">
        <v>-10.7</v>
      </c>
      <c r="CB150">
        <v>-11.2</v>
      </c>
      <c r="CC150">
        <v>-11.4</v>
      </c>
      <c r="CD150">
        <v>-11.3</v>
      </c>
      <c r="CE150">
        <v>-10.9</v>
      </c>
      <c r="CF150">
        <v>-10.3</v>
      </c>
      <c r="CG150">
        <v>-9.3699999999999992</v>
      </c>
      <c r="CH150">
        <v>-8.2899999999999991</v>
      </c>
      <c r="CI150">
        <v>-7.06</v>
      </c>
      <c r="CJ150">
        <v>-5.76</v>
      </c>
      <c r="CK150">
        <v>-4.5</v>
      </c>
      <c r="CL150">
        <v>-3.33</v>
      </c>
      <c r="CM150">
        <v>-2.38</v>
      </c>
      <c r="CN150">
        <v>-1.73</v>
      </c>
      <c r="CO150">
        <v>-1.46</v>
      </c>
      <c r="CP150">
        <v>-1.66</v>
      </c>
      <c r="CQ150">
        <v>-2.37</v>
      </c>
      <c r="CR150">
        <v>-3.56</v>
      </c>
      <c r="CS150">
        <v>-5.29</v>
      </c>
      <c r="CT150">
        <v>-7.39</v>
      </c>
      <c r="CU150">
        <v>-9.75</v>
      </c>
      <c r="CV150">
        <v>-12.2</v>
      </c>
      <c r="CW150">
        <v>-14.5</v>
      </c>
      <c r="CX150">
        <v>-16.600000000000001</v>
      </c>
      <c r="CY150">
        <v>-18.3</v>
      </c>
      <c r="CZ150">
        <v>-19.2</v>
      </c>
      <c r="DA150">
        <v>-19.600000000000001</v>
      </c>
      <c r="DB150">
        <v>-19.399999999999999</v>
      </c>
    </row>
    <row r="151" spans="1:106" x14ac:dyDescent="0.25">
      <c r="A151" s="59"/>
      <c r="B151" s="59"/>
      <c r="C151" t="s">
        <v>61</v>
      </c>
      <c r="D151">
        <v>9</v>
      </c>
      <c r="E151" t="s">
        <v>2</v>
      </c>
      <c r="F151">
        <v>8.31</v>
      </c>
      <c r="G151">
        <v>8.2100000000000009</v>
      </c>
      <c r="H151">
        <v>8.26</v>
      </c>
      <c r="I151">
        <v>8.4700000000000006</v>
      </c>
      <c r="J151">
        <v>8.8699999999999992</v>
      </c>
      <c r="K151">
        <v>9.3699999999999992</v>
      </c>
      <c r="L151">
        <v>9.8699999999999992</v>
      </c>
      <c r="M151">
        <v>10.4</v>
      </c>
      <c r="N151">
        <v>10.8</v>
      </c>
      <c r="O151">
        <v>11.3</v>
      </c>
      <c r="P151">
        <v>11.8</v>
      </c>
      <c r="Q151">
        <v>12.2</v>
      </c>
      <c r="R151">
        <v>12.7</v>
      </c>
      <c r="S151">
        <v>13</v>
      </c>
      <c r="T151">
        <v>13.1</v>
      </c>
      <c r="U151">
        <v>13.1</v>
      </c>
      <c r="V151">
        <v>12.9</v>
      </c>
      <c r="W151">
        <v>12.6</v>
      </c>
      <c r="X151">
        <v>12.1</v>
      </c>
      <c r="Y151">
        <v>11.6</v>
      </c>
      <c r="Z151">
        <v>11.1</v>
      </c>
      <c r="AA151">
        <v>10.8</v>
      </c>
      <c r="AB151">
        <v>10.5</v>
      </c>
      <c r="AC151">
        <v>10.199999999999999</v>
      </c>
      <c r="AD151">
        <v>10.1</v>
      </c>
      <c r="AE151">
        <v>9.94</v>
      </c>
      <c r="AF151">
        <v>9.85</v>
      </c>
      <c r="AG151">
        <v>9.7799999999999994</v>
      </c>
      <c r="AH151">
        <v>9.7100000000000009</v>
      </c>
      <c r="AI151">
        <v>9.67</v>
      </c>
      <c r="AJ151">
        <v>9.6300000000000008</v>
      </c>
      <c r="AK151">
        <v>9.5500000000000007</v>
      </c>
      <c r="AL151">
        <v>9.48</v>
      </c>
      <c r="AM151">
        <v>9.3800000000000008</v>
      </c>
      <c r="AN151">
        <v>9.23</v>
      </c>
      <c r="AO151">
        <v>9.06</v>
      </c>
      <c r="AP151">
        <v>8.85</v>
      </c>
      <c r="AQ151">
        <v>8.61</v>
      </c>
      <c r="AR151">
        <v>8.3699999999999992</v>
      </c>
      <c r="AS151">
        <v>8.1300000000000008</v>
      </c>
      <c r="AT151">
        <v>7.9</v>
      </c>
      <c r="AU151">
        <v>7.69</v>
      </c>
      <c r="AV151">
        <v>7.51</v>
      </c>
      <c r="AW151">
        <v>7.35</v>
      </c>
      <c r="AX151">
        <v>7.21</v>
      </c>
      <c r="AY151">
        <v>7.12</v>
      </c>
      <c r="AZ151">
        <v>7.05</v>
      </c>
      <c r="BA151">
        <v>7.02</v>
      </c>
      <c r="BB151">
        <v>6.99</v>
      </c>
      <c r="BC151">
        <v>6.98</v>
      </c>
      <c r="BD151">
        <v>6.97</v>
      </c>
      <c r="BE151">
        <v>6.93</v>
      </c>
      <c r="BF151">
        <v>6.89</v>
      </c>
      <c r="BG151">
        <v>6.85</v>
      </c>
      <c r="BH151">
        <v>6.83</v>
      </c>
      <c r="BI151">
        <v>6.87</v>
      </c>
      <c r="BJ151">
        <v>6.98</v>
      </c>
      <c r="BK151">
        <v>7.25</v>
      </c>
      <c r="BL151">
        <v>7.7</v>
      </c>
      <c r="BM151">
        <v>8.3000000000000007</v>
      </c>
      <c r="BN151">
        <v>9.1</v>
      </c>
      <c r="BO151">
        <v>10.1</v>
      </c>
      <c r="BP151">
        <v>11.1</v>
      </c>
      <c r="BQ151">
        <v>12.2</v>
      </c>
      <c r="BR151">
        <v>13.2</v>
      </c>
      <c r="BS151">
        <v>14.1</v>
      </c>
      <c r="BT151">
        <v>14.9</v>
      </c>
      <c r="BU151">
        <v>15.4</v>
      </c>
      <c r="BV151">
        <v>15.9</v>
      </c>
      <c r="BW151">
        <v>16.100000000000001</v>
      </c>
      <c r="BX151">
        <v>16.3</v>
      </c>
      <c r="BY151">
        <v>16.5</v>
      </c>
      <c r="BZ151">
        <v>16.7</v>
      </c>
      <c r="CA151">
        <v>16.899999999999999</v>
      </c>
      <c r="CB151">
        <v>17.2</v>
      </c>
      <c r="CC151">
        <v>17.399999999999999</v>
      </c>
      <c r="CD151">
        <v>17.600000000000001</v>
      </c>
      <c r="CE151">
        <v>17.7</v>
      </c>
      <c r="CF151">
        <v>17.7</v>
      </c>
      <c r="CG151">
        <v>17.5</v>
      </c>
      <c r="CH151">
        <v>17</v>
      </c>
      <c r="CI151">
        <v>16.3</v>
      </c>
      <c r="CJ151">
        <v>15.4</v>
      </c>
      <c r="CK151">
        <v>14.2</v>
      </c>
      <c r="CL151">
        <v>12.8</v>
      </c>
      <c r="CM151">
        <v>11.3</v>
      </c>
      <c r="CN151">
        <v>9.76</v>
      </c>
      <c r="CO151">
        <v>8.32</v>
      </c>
      <c r="CP151">
        <v>7.12</v>
      </c>
      <c r="CQ151">
        <v>6.28</v>
      </c>
      <c r="CR151">
        <v>5.83</v>
      </c>
      <c r="CS151">
        <v>5.93</v>
      </c>
      <c r="CT151">
        <v>6.48</v>
      </c>
      <c r="CU151">
        <v>7.4</v>
      </c>
      <c r="CV151">
        <v>8.59</v>
      </c>
      <c r="CW151">
        <v>9.9</v>
      </c>
      <c r="CX151">
        <v>11.2</v>
      </c>
      <c r="CY151">
        <v>12.4</v>
      </c>
      <c r="CZ151">
        <v>13.2</v>
      </c>
      <c r="DA151">
        <v>13.7</v>
      </c>
      <c r="DB151">
        <v>14</v>
      </c>
    </row>
    <row r="152" spans="1:106" x14ac:dyDescent="0.25">
      <c r="A152" s="59"/>
      <c r="B152" s="59"/>
      <c r="C152" t="s">
        <v>62</v>
      </c>
      <c r="D152">
        <v>9</v>
      </c>
      <c r="E152" t="s">
        <v>2</v>
      </c>
      <c r="F152">
        <v>1.25</v>
      </c>
      <c r="G152">
        <v>0.56999999999999995</v>
      </c>
      <c r="H152">
        <v>-0.66</v>
      </c>
      <c r="I152">
        <v>-2.44</v>
      </c>
      <c r="J152">
        <v>-4.88</v>
      </c>
      <c r="K152">
        <v>-7.55</v>
      </c>
      <c r="L152">
        <v>-10.3</v>
      </c>
      <c r="M152">
        <v>-12.8</v>
      </c>
      <c r="N152">
        <v>-14.8</v>
      </c>
      <c r="O152">
        <v>-16.3</v>
      </c>
      <c r="P152">
        <v>-17.2</v>
      </c>
      <c r="Q152">
        <v>-17.399999999999999</v>
      </c>
      <c r="R152">
        <v>-16.899999999999999</v>
      </c>
      <c r="S152">
        <v>-16</v>
      </c>
      <c r="T152">
        <v>-14.6</v>
      </c>
      <c r="U152">
        <v>-12.9</v>
      </c>
      <c r="V152">
        <v>-11.3</v>
      </c>
      <c r="W152">
        <v>-9.67</v>
      </c>
      <c r="X152">
        <v>-8.43</v>
      </c>
      <c r="Y152">
        <v>-7.48</v>
      </c>
      <c r="Z152">
        <v>-6.81</v>
      </c>
      <c r="AA152">
        <v>-6.44</v>
      </c>
      <c r="AB152">
        <v>-6.23</v>
      </c>
      <c r="AC152">
        <v>-6.06</v>
      </c>
      <c r="AD152">
        <v>-5.84</v>
      </c>
      <c r="AE152">
        <v>-5.48</v>
      </c>
      <c r="AF152">
        <v>-4.9800000000000004</v>
      </c>
      <c r="AG152">
        <v>-4.3099999999999996</v>
      </c>
      <c r="AH152">
        <v>-3.47</v>
      </c>
      <c r="AI152">
        <v>-2.48</v>
      </c>
      <c r="AJ152">
        <v>-1.41</v>
      </c>
      <c r="AK152">
        <v>-0.32</v>
      </c>
      <c r="AL152">
        <v>0.78</v>
      </c>
      <c r="AM152">
        <v>1.82</v>
      </c>
      <c r="AN152">
        <v>2.76</v>
      </c>
      <c r="AO152">
        <v>3.58</v>
      </c>
      <c r="AP152">
        <v>4.28</v>
      </c>
      <c r="AQ152">
        <v>4.79</v>
      </c>
      <c r="AR152">
        <v>5.17</v>
      </c>
      <c r="AS152">
        <v>5.42</v>
      </c>
      <c r="AT152">
        <v>5.56</v>
      </c>
      <c r="AU152">
        <v>5.61</v>
      </c>
      <c r="AV152">
        <v>5.61</v>
      </c>
      <c r="AW152">
        <v>5.61</v>
      </c>
      <c r="AX152">
        <v>5.61</v>
      </c>
      <c r="AY152">
        <v>5.67</v>
      </c>
      <c r="AZ152">
        <v>5.79</v>
      </c>
      <c r="BA152">
        <v>5.95</v>
      </c>
      <c r="BB152">
        <v>6.18</v>
      </c>
      <c r="BC152">
        <v>6.46</v>
      </c>
      <c r="BD152">
        <v>6.74</v>
      </c>
      <c r="BE152">
        <v>7.04</v>
      </c>
      <c r="BF152">
        <v>7.29</v>
      </c>
      <c r="BG152">
        <v>7.44</v>
      </c>
      <c r="BH152">
        <v>7.43</v>
      </c>
      <c r="BI152">
        <v>7.23</v>
      </c>
      <c r="BJ152">
        <v>6.77</v>
      </c>
      <c r="BK152">
        <v>5.97</v>
      </c>
      <c r="BL152">
        <v>4.88</v>
      </c>
      <c r="BM152">
        <v>3.52</v>
      </c>
      <c r="BN152">
        <v>1.92</v>
      </c>
      <c r="BO152">
        <v>0.2</v>
      </c>
      <c r="BP152">
        <v>-1.59</v>
      </c>
      <c r="BQ152">
        <v>-3.33</v>
      </c>
      <c r="BR152">
        <v>-4.91</v>
      </c>
      <c r="BS152">
        <v>-6.31</v>
      </c>
      <c r="BT152">
        <v>-7.47</v>
      </c>
      <c r="BU152">
        <v>-8.41</v>
      </c>
      <c r="BV152">
        <v>-9.18</v>
      </c>
      <c r="BW152">
        <v>-9.8000000000000007</v>
      </c>
      <c r="BX152">
        <v>-10.3</v>
      </c>
      <c r="BY152">
        <v>-10.9</v>
      </c>
      <c r="BZ152">
        <v>-11.4</v>
      </c>
      <c r="CA152">
        <v>-12</v>
      </c>
      <c r="CB152">
        <v>-12.6</v>
      </c>
      <c r="CC152">
        <v>-13.2</v>
      </c>
      <c r="CD152">
        <v>-13.8</v>
      </c>
      <c r="CE152">
        <v>-14.3</v>
      </c>
      <c r="CF152">
        <v>-14.8</v>
      </c>
      <c r="CG152">
        <v>-15.2</v>
      </c>
      <c r="CH152">
        <v>-15.5</v>
      </c>
      <c r="CI152">
        <v>-15.7</v>
      </c>
      <c r="CJ152">
        <v>-15.9</v>
      </c>
      <c r="CK152">
        <v>-15.9</v>
      </c>
      <c r="CL152">
        <v>-15.8</v>
      </c>
      <c r="CM152">
        <v>-15.5</v>
      </c>
      <c r="CN152">
        <v>-15.1</v>
      </c>
      <c r="CO152">
        <v>-14.6</v>
      </c>
      <c r="CP152">
        <v>-13.8</v>
      </c>
      <c r="CQ152">
        <v>-12.8</v>
      </c>
      <c r="CR152">
        <v>-11.6</v>
      </c>
      <c r="CS152">
        <v>-10.199999999999999</v>
      </c>
      <c r="CT152">
        <v>-8.66</v>
      </c>
      <c r="CU152">
        <v>-7.01</v>
      </c>
      <c r="CV152">
        <v>-5.33</v>
      </c>
      <c r="CW152">
        <v>-3.75</v>
      </c>
      <c r="CX152">
        <v>-2.31</v>
      </c>
      <c r="CY152">
        <v>-1.1000000000000001</v>
      </c>
      <c r="CZ152">
        <v>-0.28999999999999998</v>
      </c>
      <c r="DA152">
        <v>0.17</v>
      </c>
      <c r="DB152">
        <v>0.26</v>
      </c>
    </row>
    <row r="153" spans="1:106" x14ac:dyDescent="0.25">
      <c r="A153" s="59"/>
      <c r="B153" s="59"/>
      <c r="C153" t="s">
        <v>63</v>
      </c>
      <c r="D153">
        <v>9</v>
      </c>
      <c r="E153" t="s">
        <v>2</v>
      </c>
      <c r="F153">
        <v>-9.92</v>
      </c>
      <c r="G153">
        <v>-9.57</v>
      </c>
      <c r="H153">
        <v>-9.24</v>
      </c>
      <c r="I153">
        <v>-8.92</v>
      </c>
      <c r="J153">
        <v>-8.6199999999999992</v>
      </c>
      <c r="K153">
        <v>-8.34</v>
      </c>
      <c r="L153">
        <v>-8.09</v>
      </c>
      <c r="M153">
        <v>-7.88</v>
      </c>
      <c r="N153">
        <v>-7.75</v>
      </c>
      <c r="O153">
        <v>-7.71</v>
      </c>
      <c r="P153">
        <v>-7.74</v>
      </c>
      <c r="Q153">
        <v>-7.87</v>
      </c>
      <c r="R153">
        <v>-8.0500000000000007</v>
      </c>
      <c r="S153">
        <v>-8.25</v>
      </c>
      <c r="T153">
        <v>-8.44</v>
      </c>
      <c r="U153">
        <v>-8.6</v>
      </c>
      <c r="V153">
        <v>-8.7100000000000009</v>
      </c>
      <c r="W153">
        <v>-8.7799999999999994</v>
      </c>
      <c r="X153">
        <v>-8.81</v>
      </c>
      <c r="Y153">
        <v>-8.82</v>
      </c>
      <c r="Z153">
        <v>-8.82</v>
      </c>
      <c r="AA153">
        <v>-8.8000000000000007</v>
      </c>
      <c r="AB153">
        <v>-8.7899999999999991</v>
      </c>
      <c r="AC153">
        <v>-8.7899999999999991</v>
      </c>
      <c r="AD153">
        <v>-8.81</v>
      </c>
      <c r="AE153">
        <v>-8.86</v>
      </c>
      <c r="AF153">
        <v>-8.9499999999999993</v>
      </c>
      <c r="AG153">
        <v>-9.06</v>
      </c>
      <c r="AH153">
        <v>-9.2200000000000006</v>
      </c>
      <c r="AI153">
        <v>-9.4</v>
      </c>
      <c r="AJ153">
        <v>-9.6</v>
      </c>
      <c r="AK153">
        <v>-9.83</v>
      </c>
      <c r="AL153">
        <v>-10.1</v>
      </c>
      <c r="AM153">
        <v>-10.3</v>
      </c>
      <c r="AN153">
        <v>-10.5</v>
      </c>
      <c r="AO153">
        <v>-10.8</v>
      </c>
      <c r="AP153">
        <v>-11</v>
      </c>
      <c r="AQ153">
        <v>-11.2</v>
      </c>
      <c r="AR153">
        <v>-11.4</v>
      </c>
      <c r="AS153">
        <v>-11.6</v>
      </c>
      <c r="AT153">
        <v>-11.7</v>
      </c>
      <c r="AU153">
        <v>-11.8</v>
      </c>
      <c r="AV153">
        <v>-11.9</v>
      </c>
      <c r="AW153">
        <v>-11.9</v>
      </c>
      <c r="AX153">
        <v>-11.8</v>
      </c>
      <c r="AY153">
        <v>-11.6</v>
      </c>
      <c r="AZ153">
        <v>-11.4</v>
      </c>
      <c r="BA153">
        <v>-11.1</v>
      </c>
      <c r="BB153">
        <v>-10.8</v>
      </c>
      <c r="BC153">
        <v>-10.3</v>
      </c>
      <c r="BD153">
        <v>-9.8800000000000008</v>
      </c>
      <c r="BE153">
        <v>-9.36</v>
      </c>
      <c r="BF153">
        <v>-8.81</v>
      </c>
      <c r="BG153">
        <v>-8.23</v>
      </c>
      <c r="BH153">
        <v>-7.65</v>
      </c>
      <c r="BI153">
        <v>-7.08</v>
      </c>
      <c r="BJ153">
        <v>-6.55</v>
      </c>
      <c r="BK153">
        <v>-6.1</v>
      </c>
      <c r="BL153">
        <v>-5.75</v>
      </c>
      <c r="BM153">
        <v>-5.51</v>
      </c>
      <c r="BN153">
        <v>-5.42</v>
      </c>
      <c r="BO153">
        <v>-5.48</v>
      </c>
      <c r="BP153">
        <v>-5.7</v>
      </c>
      <c r="BQ153">
        <v>-6.1</v>
      </c>
      <c r="BR153">
        <v>-6.63</v>
      </c>
      <c r="BS153">
        <v>-7.3</v>
      </c>
      <c r="BT153">
        <v>-8.07</v>
      </c>
      <c r="BU153">
        <v>-8.9</v>
      </c>
      <c r="BV153">
        <v>-9.76</v>
      </c>
      <c r="BW153">
        <v>-10.6</v>
      </c>
      <c r="BX153">
        <v>-11.4</v>
      </c>
      <c r="BY153">
        <v>-12.1</v>
      </c>
      <c r="BZ153">
        <v>-12.8</v>
      </c>
      <c r="CA153">
        <v>-13.4</v>
      </c>
      <c r="CB153">
        <v>-13.8</v>
      </c>
      <c r="CC153">
        <v>-14.3</v>
      </c>
      <c r="CD153">
        <v>-14.6</v>
      </c>
      <c r="CE153">
        <v>-14.9</v>
      </c>
      <c r="CF153">
        <v>-15.2</v>
      </c>
      <c r="CG153">
        <v>-15.5</v>
      </c>
      <c r="CH153">
        <v>-15.8</v>
      </c>
      <c r="CI153">
        <v>-16.100000000000001</v>
      </c>
      <c r="CJ153">
        <v>-16.3</v>
      </c>
      <c r="CK153">
        <v>-16.600000000000001</v>
      </c>
      <c r="CL153">
        <v>-16.8</v>
      </c>
      <c r="CM153">
        <v>-17.100000000000001</v>
      </c>
      <c r="CN153">
        <v>-17.2</v>
      </c>
      <c r="CO153">
        <v>-17.3</v>
      </c>
      <c r="CP153">
        <v>-17.2</v>
      </c>
      <c r="CQ153">
        <v>-17.100000000000001</v>
      </c>
      <c r="CR153">
        <v>-16.7</v>
      </c>
      <c r="CS153">
        <v>-16.3</v>
      </c>
      <c r="CT153">
        <v>-15.7</v>
      </c>
      <c r="CU153">
        <v>-14.9</v>
      </c>
      <c r="CV153">
        <v>-14.2</v>
      </c>
      <c r="CW153">
        <v>-13.3</v>
      </c>
      <c r="CX153">
        <v>-12.4</v>
      </c>
      <c r="CY153">
        <v>-11.5</v>
      </c>
      <c r="CZ153">
        <v>-10.6</v>
      </c>
      <c r="DA153">
        <v>-9.75</v>
      </c>
      <c r="DB153">
        <v>-8.94</v>
      </c>
    </row>
  </sheetData>
  <mergeCells count="22">
    <mergeCell ref="A129:A140"/>
    <mergeCell ref="A64:A75"/>
    <mergeCell ref="B64:B75"/>
    <mergeCell ref="B142:B153"/>
    <mergeCell ref="A142:A153"/>
    <mergeCell ref="B116:B127"/>
    <mergeCell ref="B129:B140"/>
    <mergeCell ref="A116:A127"/>
    <mergeCell ref="C18:D18"/>
    <mergeCell ref="A1:C1"/>
    <mergeCell ref="A103:A114"/>
    <mergeCell ref="B38:B49"/>
    <mergeCell ref="A77:A88"/>
    <mergeCell ref="B77:B88"/>
    <mergeCell ref="A90:A101"/>
    <mergeCell ref="A34:C34"/>
    <mergeCell ref="A36:B36"/>
    <mergeCell ref="A38:A49"/>
    <mergeCell ref="B90:B101"/>
    <mergeCell ref="B51:B62"/>
    <mergeCell ref="B103:B114"/>
    <mergeCell ref="A51:A62"/>
  </mergeCells>
  <phoneticPr fontId="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8"/>
  <sheetViews>
    <sheetView workbookViewId="0">
      <selection activeCell="K10" sqref="K10"/>
    </sheetView>
  </sheetViews>
  <sheetFormatPr defaultRowHeight="13.2" x14ac:dyDescent="0.25"/>
  <sheetData>
    <row r="1" spans="1:1" x14ac:dyDescent="0.25">
      <c r="A1" s="1" t="s">
        <v>43</v>
      </c>
    </row>
    <row r="2" spans="1:1" x14ac:dyDescent="0.25">
      <c r="A2" t="s">
        <v>40</v>
      </c>
    </row>
    <row r="3" spans="1:1" x14ac:dyDescent="0.25">
      <c r="A3" t="s">
        <v>41</v>
      </c>
    </row>
    <row r="4" spans="1:1" x14ac:dyDescent="0.25">
      <c r="A4" t="s">
        <v>42</v>
      </c>
    </row>
    <row r="5" spans="1:1" x14ac:dyDescent="0.25">
      <c r="A5" t="s">
        <v>138</v>
      </c>
    </row>
    <row r="6" spans="1:1" x14ac:dyDescent="0.25">
      <c r="A6" t="s">
        <v>122</v>
      </c>
    </row>
    <row r="7" spans="1:1" x14ac:dyDescent="0.25">
      <c r="A7" s="3" t="s">
        <v>145</v>
      </c>
    </row>
    <row r="8" spans="1:1" x14ac:dyDescent="0.25">
      <c r="A8" s="3" t="s">
        <v>146</v>
      </c>
    </row>
    <row r="9" spans="1:1" x14ac:dyDescent="0.25">
      <c r="A9" t="s">
        <v>128</v>
      </c>
    </row>
    <row r="11" spans="1:1" x14ac:dyDescent="0.25">
      <c r="A11" s="1" t="s">
        <v>136</v>
      </c>
    </row>
    <row r="12" spans="1:1" x14ac:dyDescent="0.25">
      <c r="A12" s="3" t="s">
        <v>137</v>
      </c>
    </row>
    <row r="13" spans="1:1" x14ac:dyDescent="0.25">
      <c r="A13" s="3" t="s">
        <v>139</v>
      </c>
    </row>
    <row r="14" spans="1:1" x14ac:dyDescent="0.25">
      <c r="A14" s="3" t="s">
        <v>143</v>
      </c>
    </row>
    <row r="15" spans="1:1" x14ac:dyDescent="0.25">
      <c r="A15" s="3" t="s">
        <v>147</v>
      </c>
    </row>
    <row r="16" spans="1:1" x14ac:dyDescent="0.25">
      <c r="A16" s="3" t="s">
        <v>148</v>
      </c>
    </row>
    <row r="17" spans="1:9" x14ac:dyDescent="0.25">
      <c r="A17" s="3" t="s">
        <v>140</v>
      </c>
    </row>
    <row r="20" spans="1:9" x14ac:dyDescent="0.25">
      <c r="A20" s="16" t="s">
        <v>48</v>
      </c>
      <c r="B20" s="16"/>
      <c r="C20" s="16"/>
      <c r="D20" s="16"/>
      <c r="E20" s="16"/>
      <c r="F20" s="16"/>
      <c r="G20" s="16"/>
      <c r="H20" s="16"/>
      <c r="I20" s="16"/>
    </row>
    <row r="22" spans="1:9" x14ac:dyDescent="0.25">
      <c r="A22" s="1" t="s">
        <v>115</v>
      </c>
    </row>
    <row r="23" spans="1:9" x14ac:dyDescent="0.25">
      <c r="A23" t="s">
        <v>119</v>
      </c>
    </row>
    <row r="24" spans="1:9" x14ac:dyDescent="0.25">
      <c r="A24" t="s">
        <v>118</v>
      </c>
    </row>
    <row r="25" spans="1:9" x14ac:dyDescent="0.25">
      <c r="A25" t="s">
        <v>117</v>
      </c>
    </row>
    <row r="26" spans="1:9" x14ac:dyDescent="0.25">
      <c r="A26" t="s">
        <v>116</v>
      </c>
    </row>
    <row r="27" spans="1:9" x14ac:dyDescent="0.25">
      <c r="A27" t="s">
        <v>120</v>
      </c>
    </row>
    <row r="28" spans="1:9" x14ac:dyDescent="0.25">
      <c r="A28" t="s">
        <v>121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A6"/>
  <sheetViews>
    <sheetView workbookViewId="0"/>
  </sheetViews>
  <sheetFormatPr defaultRowHeight="13.2" x14ac:dyDescent="0.25"/>
  <sheetData>
    <row r="2" spans="1:1" x14ac:dyDescent="0.25">
      <c r="A2" t="s">
        <v>49</v>
      </c>
    </row>
    <row r="3" spans="1:1" x14ac:dyDescent="0.25">
      <c r="A3" t="s">
        <v>50</v>
      </c>
    </row>
    <row r="5" spans="1:1" x14ac:dyDescent="0.25">
      <c r="A5" s="3" t="s">
        <v>144</v>
      </c>
    </row>
    <row r="6" spans="1:1" x14ac:dyDescent="0.25">
      <c r="A6" s="3" t="s">
        <v>151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</vt:lpstr>
      <vt:lpstr>Comparison</vt:lpstr>
      <vt:lpstr>Current graph</vt:lpstr>
      <vt:lpstr> Comparison Graph</vt:lpstr>
      <vt:lpstr>Normal GPS values</vt:lpstr>
      <vt:lpstr>Normal gait variables</vt:lpstr>
      <vt:lpstr>Instructions</vt:lpstr>
      <vt:lpstr>Version</vt:lpstr>
    </vt:vector>
  </TitlesOfParts>
  <Company>Oxford Gait Lab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 Stebbins</dc:creator>
  <cp:lastModifiedBy>Julie Stebbins</cp:lastModifiedBy>
  <cp:lastPrinted>2010-04-26T12:31:58Z</cp:lastPrinted>
  <dcterms:created xsi:type="dcterms:W3CDTF">2010-04-26T11:40:10Z</dcterms:created>
  <dcterms:modified xsi:type="dcterms:W3CDTF">2013-10-15T10:42:43Z</dcterms:modified>
</cp:coreProperties>
</file>